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4b42abbde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总览" sheetId="1" r:id="R8cb128a85d374a46"/>
    <x:sheet xmlns:r="http://schemas.openxmlformats.org/officeDocument/2006/relationships" name="地区收入" sheetId="2" r:id="R04db633bbc724b15"/>
    <x:sheet xmlns:r="http://schemas.openxmlformats.org/officeDocument/2006/relationships" name="年度渠道" sheetId="3" r:id="R512ec5223ca14ab7"/>
    <x:sheet xmlns:r="http://schemas.openxmlformats.org/officeDocument/2006/relationships" name="地区渠道矩阵" sheetId="4" r:id="R1c1443276d974ef1"/>
    <x:sheet xmlns:r="http://schemas.openxmlformats.org/officeDocument/2006/relationships" name="线上细分" sheetId="5" r:id="R26e801b17d4d44f1"/>
    <x:sheet xmlns:r="http://schemas.openxmlformats.org/officeDocument/2006/relationships" name="产品品类" sheetId="6" r:id="Rb347c32ae79546c7"/>
    <x:sheet xmlns:r="http://schemas.openxmlformats.org/officeDocument/2006/relationships" name="IP收入" sheetId="7" r:id="R9dc52fda61bd48be"/>
    <x:sheet xmlns:r="http://schemas.openxmlformats.org/officeDocument/2006/relationships" name="门店网络" sheetId="8" r:id="R540ca088b09a4063"/>
    <x:sheet xmlns:r="http://schemas.openxmlformats.org/officeDocument/2006/relationships" name="业绩会补充" sheetId="9" r:id="R5b52dbadd53b49c9"/>
    <x:sheet xmlns:r="http://schemas.openxmlformats.org/officeDocument/2006/relationships" name="来源与校验" sheetId="10" r:id="Rc53cf8e67790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#,##0.0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1"/>
      <x:color rgb="FF0563C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11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2" borderId="8" xfId="0" applyNumberFormat="1" applyFont="1" applyFill="1" applyBorder="1"/>
    <x:xf numFmtId="0" fontId="3" fillId="2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202" fontId="0" fillId="0" borderId="9" xfId="0" applyNumberFormat="1" applyFont="1" applyFill="1" applyBorder="1"/>
    <x:xf numFmtId="202" fontId="0" fillId="0" borderId="1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3" xfId="0" applyNumberFormat="1" applyFont="1" applyFill="1" applyBorder="1"/>
    <x:xf numFmtId="0" fontId="0" fillId="5" borderId="9" xfId="0" applyNumberFormat="1" applyFont="1" applyFill="1" applyBorder="1"/>
    <x:xf numFmtId="201" fontId="0" fillId="5" borderId="9" xfId="0" applyNumberFormat="1" applyFont="1" applyFill="1" applyBorder="1"/>
    <x:xf numFmtId="200" fontId="0" fillId="5" borderId="9" xfId="0" applyNumberFormat="1" applyFont="1" applyFill="1" applyBorder="1"/>
    <x:xf numFmtId="20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10" xfId="0" applyNumberFormat="1" applyFont="1" applyFill="1" applyBorder="1"/>
    <x:xf numFmtId="201" fontId="0" fillId="5" borderId="10" xfId="0" applyNumberFormat="1" applyFont="1" applyFill="1" applyBorder="1"/>
    <x:xf numFmtId="200" fontId="0" fillId="5" borderId="10" xfId="0" applyNumberFormat="1" applyFont="1" applyFill="1" applyBorder="1"/>
    <x:xf numFmtId="200" fontId="0" fillId="5" borderId="6" xfId="0" applyNumberFormat="1" applyFont="1" applyFill="1" applyBorder="1"/>
    <x:xf numFmtId="0" fontId="0" fillId="5" borderId="4" xfId="0" applyNumberFormat="1" applyFont="1" applyFill="1" applyBorder="1"/>
    <x:xf numFmtId="0" fontId="0" fillId="5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eec2066654efa" /><Relationship Type="http://schemas.openxmlformats.org/officeDocument/2006/relationships/theme" Target="/xl/theme/theme1.xml" Id="R1231aa25e07241a8" /><Relationship Type="http://schemas.openxmlformats.org/officeDocument/2006/relationships/sharedStrings" Target="/xl/sharedStrings.xml" Id="R216107de56734a69" /><Relationship Type="http://schemas.openxmlformats.org/officeDocument/2006/relationships/worksheet" Target="/xl/worksheets/sheet1.xml" Id="R8cb128a85d374a46" /><Relationship Type="http://schemas.openxmlformats.org/officeDocument/2006/relationships/worksheet" Target="/xl/worksheets/sheet2.xml" Id="R04db633bbc724b15" /><Relationship Type="http://schemas.openxmlformats.org/officeDocument/2006/relationships/worksheet" Target="/xl/worksheets/sheet3.xml" Id="R512ec5223ca14ab7" /><Relationship Type="http://schemas.openxmlformats.org/officeDocument/2006/relationships/worksheet" Target="/xl/worksheets/sheet4.xml" Id="R1c1443276d974ef1" /><Relationship Type="http://schemas.openxmlformats.org/officeDocument/2006/relationships/worksheet" Target="/xl/worksheets/sheet5.xml" Id="R26e801b17d4d44f1" /><Relationship Type="http://schemas.openxmlformats.org/officeDocument/2006/relationships/worksheet" Target="/xl/worksheets/sheet6.xml" Id="Rb347c32ae79546c7" /><Relationship Type="http://schemas.openxmlformats.org/officeDocument/2006/relationships/worksheet" Target="/xl/worksheets/sheet7.xml" Id="R9dc52fda61bd48be" /><Relationship Type="http://schemas.openxmlformats.org/officeDocument/2006/relationships/worksheet" Target="/xl/worksheets/sheet8.xml" Id="R540ca088b09a4063" /><Relationship Type="http://schemas.openxmlformats.org/officeDocument/2006/relationships/worksheet" Target="/xl/worksheets/sheet9.xml" Id="R5b52dbadd53b49c9" /><Relationship Type="http://schemas.openxmlformats.org/officeDocument/2006/relationships/worksheet" Target="/xl/worksheets/sheet10.xml" Id="Rc53cf8e6779047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a5e9b71768462a" /><Relationship Type="http://schemas.openxmlformats.org/officeDocument/2006/relationships/chart" Target="/xl/drawings/charts/chart2.xml" Id="R0a60672f7a6443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收入从25亿增至371亿（人民币百万元）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收入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numLit>
          </c:cat>
          <c:val>
            <c:numLit>
              <c:formatCode>General</c:formatCode>
              <c:ptCount val="6"/>
              <c:pt idx="0">
                <c:v>2513.471</c:v>
              </c:pt>
              <c:pt idx="1">
                <c:v>4490.651</c:v>
              </c:pt>
              <c:pt idx="2">
                <c:v>4617.324</c:v>
              </c:pt>
              <c:pt idx="3">
                <c:v>6301.002</c:v>
              </c:pt>
              <c:pt idx="4">
                <c:v>13037.749</c:v>
              </c:pt>
              <c:pt idx="5">
                <c:v>37120.052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产品收入结构占比（%）</a:t>
            </a:r>
          </a:p>
        </c:rich>
      </c:tx>
      <c:overlay val="0"/>
    </c:title>
    <c:plotArea>
      <c:barChart>
        <c:barDir val="col"/>
        <c:grouping val="stacked"/>
        <c:varyColors val="0"/>
        <c:ser>
          <c:idx val="0"/>
          <c:order val="0"/>
          <c:tx>
            <c:v>毛绒</c:v>
          </c:tx>
          <c:cat>
            <c:strLit>
              <c:ptCount val="4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2026H1</c:v>
              </c:pt>
            </c:strLit>
          </c:cat>
          <c:val>
            <c:numLit>
              <c:formatCode>General</c:formatCode>
              <c:ptCount val="4"/>
              <c:pt idx="0">
                <c:v>3.24</c:v>
              </c:pt>
              <c:pt idx="1">
                <c:v>21.72</c:v>
              </c:pt>
              <c:pt idx="2">
                <c:v>50.4</c:v>
              </c:pt>
              <c:pt idx="3">
                <c:v>57.21</c:v>
              </c:pt>
            </c:numLit>
          </c:val>
        </c:ser>
        <c:ser>
          <c:idx val="1"/>
          <c:order val="1"/>
          <c:tx>
            <c:v>手办</c:v>
          </c:tx>
          <c:cat>
            <c:strLit>
              <c:ptCount val="4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2026H1</c:v>
              </c:pt>
            </c:strLit>
          </c:cat>
          <c:val>
            <c:numLit>
              <c:formatCode>General</c:formatCode>
              <c:ptCount val="4"/>
              <c:pt idx="0">
                <c:v>76.08</c:v>
              </c:pt>
              <c:pt idx="1">
                <c:v>53.2</c:v>
              </c:pt>
              <c:pt idx="2">
                <c:v>32.39</c:v>
              </c:pt>
              <c:pt idx="3">
                <c:v>30.24</c:v>
              </c:pt>
            </c:numLit>
          </c:val>
        </c:ser>
        <c:ser>
          <c:idx val="2"/>
          <c:order val="2"/>
          <c:tx>
            <c:v>其他</c:v>
          </c:tx>
          <c:cat>
            <c:strLit>
              <c:ptCount val="4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2026H1</c:v>
              </c:pt>
            </c:strLit>
          </c:cat>
          <c:val>
            <c:numLit>
              <c:formatCode>General</c:formatCode>
              <c:ptCount val="4"/>
              <c:pt idx="0">
                <c:v>20.68</c:v>
              </c:pt>
              <c:pt idx="1">
                <c:v>25.08</c:v>
              </c:pt>
              <c:pt idx="2">
                <c:v>17.21</c:v>
              </c:pt>
              <c:pt idx="3">
                <c:v>12.55</c:v>
              </c:pt>
            </c:numLit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22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a5e9b71768462a"/>
        </a:graphicData>
      </a:graphic>
    </xdr:graphicFrame>
    <xdr:clientData/>
  </xdr:oneCellAnchor>
  <xdr:oneCellAnchor>
    <xdr:from>
      <xdr:col>6</xdr:col>
      <xdr:colOff>0</xdr:colOff>
      <xdr:row>22</xdr:row>
      <xdr:rowOff>0</xdr:rowOff>
    </xdr:from>
    <xdr:ext cx="59055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60672f7a64436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94001e1bc740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34" hidden="0" customWidth="1"/>
    <x:col min="12" max="12" width="14" hidden="0" customWidth="1"/>
  </x:cols>
  <x:sheetData>
    <x:row r="1" ht="30" customHeight="1">
      <x:c r="A1" s="2" t="str">
        <x:v>泡泡玛特上市以来销售全景</x:v>
      </x:c>
    </x:row>
    <x:row r="2" ht="30" customHeight="1">
      <x:c r="A2" s="5" t="str">
        <x:v>数据截止：2026-06-30；金额单位：人民币百万元。正式销售数字以年报/中报为准，业绩会内容仅作解释与管理层指引。</x:v>
      </x:c>
    </x:row>
    <x:row r="4" ht="28" customHeight="1">
      <x:c r="A4" s="17" t="str">
        <x:v>核心指标</x:v>
      </x:c>
      <x:c r="B4" s="17" t="str">
        <x:v>数值</x:v>
      </x:c>
      <x:c r="D4" s="20" t="str">
        <x:v>关键判断</x:v>
      </x:c>
      <x:c r="E4" s="20"/>
      <x:c r="F4" s="20"/>
      <x:c r="G4" s="20"/>
      <x:c r="H4" s="20"/>
      <x:c r="I4" s="20"/>
      <x:c r="J4" s="20"/>
      <x:c r="K4" s="20"/>
      <x:c r="L4" s="20"/>
    </x:row>
    <x:row r="5" ht="34" customHeight="1">
      <x:c r="A5" s="8" t="str">
        <x:v>2020-2025收入CAGR</x:v>
      </x:c>
      <x:c r="B5" s="18" t="n">
        <x:f>('年度渠道'!H10/'年度渠道'!H5)^(1/5)-1</x:f>
        <x:v>0.713432260079834</x:v>
      </x:c>
      <x:c r="D5" s="23" t="str">
        <x:v>1. 2020-2025是超常扩张期，但2026H1已从全球共振切换为“中国增长、海外调整”。</x:v>
      </x:c>
      <x:c r="E5" s="23"/>
      <x:c r="F5" s="23"/>
      <x:c r="G5" s="23"/>
      <x:c r="H5" s="23"/>
      <x:c r="I5" s="23"/>
      <x:c r="J5" s="23"/>
      <x:c r="K5" s="23"/>
      <x:c r="L5" s="23"/>
    </x:row>
    <x:row r="6" ht="34" customHeight="1">
      <x:c r="A6" s="8" t="str">
        <x:v>2025海外收入占比（PRC外）</x:v>
      </x:c>
      <x:c r="B6" s="18" t="n">
        <x:f>1-'地区收入'!D21/'地区收入'!D25</x:f>
        <x:v>0.43826272118368803</x:v>
      </x:c>
      <x:c r="D6" s="23" t="str">
        <x:v>2. 海外并非需求全面消失：2026H1三大海外区域线下仍增长，但线上流量红利同步回落。</x:v>
      </x:c>
      <x:c r="E6" s="23"/>
      <x:c r="F6" s="23"/>
      <x:c r="G6" s="23"/>
      <x:c r="H6" s="23"/>
      <x:c r="I6" s="23"/>
      <x:c r="J6" s="23"/>
      <x:c r="K6" s="23"/>
      <x:c r="L6" s="23"/>
    </x:row>
    <x:row r="7" ht="34" customHeight="1">
      <x:c r="A7" s="8" t="str">
        <x:v>2026H1海外收入同比</x:v>
      </x:c>
      <x:c r="B7" s="18" t="n">
        <x:f>('地区收入'!D35-'地区收入'!D30)/'地区收入'!D30</x:f>
        <x:v>-0.11103173275093925</x:v>
      </x:c>
      <x:c r="D7" s="23" t="str">
        <x:v>3. 门店人头攒动是正面证据，但海外期末门店数增长明显快于门店收入，不能等同于成熟店同店增长。</x:v>
      </x:c>
      <x:c r="E7" s="23"/>
      <x:c r="F7" s="23"/>
      <x:c r="G7" s="23"/>
      <x:c r="H7" s="23"/>
      <x:c r="I7" s="23"/>
      <x:c r="J7" s="23"/>
      <x:c r="K7" s="23"/>
      <x:c r="L7" s="23"/>
    </x:row>
    <x:row r="8" ht="34" customHeight="1">
      <x:c r="A8" s="8" t="str">
        <x:v>2026H1海外线下收入同比</x:v>
      </x:c>
      <x:c r="B8" s="18" t="n">
        <x:f>('地区渠道矩阵'!C24-'地区渠道矩阵'!C19)/'地区渠道矩阵'!C19</x:f>
        <x:v>0.20773944462196137</x:v>
      </x:c>
      <x:c r="D8" s="23" t="str">
        <x:v>4. 产品增长从手办迁移到毛绒：2026H1毛绒占57.2%，手办收入仅增0.3%，增长集中度上升。</x:v>
      </x:c>
      <x:c r="E8" s="23"/>
      <x:c r="F8" s="23"/>
      <x:c r="G8" s="23"/>
      <x:c r="H8" s="23"/>
      <x:c r="I8" s="23"/>
      <x:c r="J8" s="23"/>
      <x:c r="K8" s="23"/>
      <x:c r="L8" s="23"/>
    </x:row>
    <x:row r="9" ht="34" customHeight="1">
      <x:c r="A9" s="8" t="str">
        <x:v>2026H1海外线上收入同比</x:v>
      </x:c>
      <x:c r="B9" s="18" t="n">
        <x:f>('地区渠道矩阵'!D24-'地区渠道矩阵'!D19)/'地区渠道矩阵'!D19</x:f>
        <x:v>-0.44026926570501834</x:v>
      </x:c>
      <x:c r="D9" s="51" t="str">
        <x:v>5. IP接力正在发生：THE MONSTERS回落，Twinkle Twinkle接棒；这证明平台能力，也同时证明爆款迁移风险。</x:v>
      </x:c>
      <x:c r="E9" s="51"/>
      <x:c r="F9" s="51"/>
      <x:c r="G9" s="51"/>
      <x:c r="H9" s="51"/>
      <x:c r="I9" s="51"/>
      <x:c r="J9" s="51"/>
      <x:c r="K9" s="51"/>
      <x:c r="L9" s="51"/>
    </x:row>
    <x:row r="10" ht="34" customHeight="1">
      <x:c r="A10" s="10" t="str">
        <x:v>2026H1毛绒收入占比</x:v>
      </x:c>
      <x:c r="B10" s="19" t="n">
        <x:f>'产品品类'!D21</x:f>
        <x:v>0.5721183950010601</x:v>
      </x:c>
      <x:c r="D10" s="23" t="str">
        <x:v>6. 最应跟踪：分地区成熟店同店、线上获客效率、毛绒占比、前三IP集中度和库存周转。</x:v>
      </x:c>
      <x:c r="E10" s="23"/>
      <x:c r="F10" s="23"/>
      <x:c r="G10" s="23"/>
      <x:c r="H10" s="23"/>
      <x:c r="I10" s="23"/>
      <x:c r="J10" s="23"/>
      <x:c r="K10" s="23"/>
      <x:c r="L10" s="23"/>
    </x:row>
    <x:row r="13" ht="28" customHeight="1">
      <x:c r="A13" s="17" t="str">
        <x:v>年度</x:v>
      </x:c>
      <x:c r="B13" s="17" t="str">
        <x:v>收入</x:v>
      </x:c>
      <x:c r="C13" s="17" t="str">
        <x:v>同比</x:v>
      </x:c>
      <x:c r="D13" s="17" t="str">
        <x:v>PRC/中国占比</x:v>
      </x:c>
      <x:c r="E13" s="17" t="str">
        <x:v>海外占比</x:v>
      </x:c>
      <x:c r="F13" s="17" t="str">
        <x:v>毛绒占比</x:v>
      </x:c>
      <x:c r="G13" s="17" t="str">
        <x:v>备注</x:v>
      </x:c>
    </x:row>
    <x:row r="14">
      <x:c r="A14" s="8" t="n">
        <x:v>2020</x:v>
      </x:c>
      <x:c r="B14" s="29" t="n">
        <x:v>2513.471</x:v>
      </x:c>
      <x:c r="C14" s="31"/>
      <x:c r="D14" s="31"/>
      <x:c r="E14" s="31"/>
      <x:c r="F14" s="31"/>
      <x:c r="G14" s="9" t="str">
        <x:v>上市当年；地区披露不足</x:v>
      </x:c>
    </x:row>
    <x:row r="15">
      <x:c r="A15" s="8" t="n">
        <x:v>2021</x:v>
      </x:c>
      <x:c r="B15" s="29" t="n">
        <x:v>4490.651</x:v>
      </x:c>
      <x:c r="C15" s="31" t="n">
        <x:f>B15/B14-1</x:f>
        <x:v>0.7866333050988055</x:v>
      </x:c>
      <x:c r="D15" s="31" t="n">
        <x:v>0.9590894505050603</x:v>
      </x:c>
      <x:c r="E15" s="31" t="n">
        <x:v>0.0409105494949396</x:v>
      </x:c>
      <x:c r="F15" s="31"/>
      <x:c r="G15" s="9" t="str">
        <x:v>旧口径：中国大陆/港澳台及海外</x:v>
      </x:c>
    </x:row>
    <x:row r="16">
      <x:c r="A16" s="8" t="n">
        <x:v>2022</x:v>
      </x:c>
      <x:c r="B16" s="29" t="n">
        <x:v>4617.324</x:v>
      </x:c>
      <x:c r="C16" s="31" t="n">
        <x:f>B16/B15-1</x:f>
        <x:v>0.02820815957419076</x:v>
      </x:c>
      <x:c r="D16" s="31" t="n">
        <x:v>0.90168807733657</x:v>
      </x:c>
      <x:c r="E16" s="31" t="n">
        <x:v>0.09831192266343017</x:v>
      </x:c>
      <x:c r="F16" s="31"/>
      <x:c r="G16" s="9" t="str">
        <x:v>旧口径</x:v>
      </x:c>
    </x:row>
    <x:row r="17">
      <x:c r="A17" s="8" t="n">
        <x:v>2023</x:v>
      </x:c>
      <x:c r="B17" s="29" t="n">
        <x:v>6301.002</x:v>
      </x:c>
      <x:c r="C17" s="31" t="n">
        <x:f>B17/B16-1</x:f>
        <x:v>0.36464367672703957</x:v>
      </x:c>
      <x:c r="D17" s="31" t="n">
        <x:v>0.8308045291844058</x:v>
      </x:c>
      <x:c r="E17" s="31" t="n">
        <x:v>0.1691954708155941</x:v>
      </x:c>
      <x:c r="F17" s="31" t="n">
        <x:v>0.03235802813584252</x:v>
      </x:c>
      <x:c r="G17" s="9" t="str">
        <x:v>首次披露产品品类</x:v>
      </x:c>
    </x:row>
    <x:row r="18">
      <x:c r="A18" s="8" t="n">
        <x:v>2024</x:v>
      </x:c>
      <x:c r="B18" s="29" t="n">
        <x:v>13037.749</x:v>
      </x:c>
      <x:c r="C18" s="31" t="n">
        <x:f>B18/B17-1</x:f>
        <x:v>1.0691548740978019</x:v>
      </x:c>
      <x:c r="D18" s="31" t="n">
        <x:v>0.6815964166820515</x:v>
      </x:c>
      <x:c r="E18" s="31" t="n">
        <x:v>0.3184035833179485</x:v>
      </x:c>
      <x:c r="F18" s="31" t="n">
        <x:v>0.21722139304875404</x:v>
      </x:c>
      <x:c r="G18" s="9" t="str">
        <x:v>按2025年报重分类PRC口径</x:v>
      </x:c>
    </x:row>
    <x:row r="19">
      <x:c r="A19" s="8" t="n">
        <x:v>2025</x:v>
      </x:c>
      <x:c r="B19" s="29" t="n">
        <x:v>37120.052</x:v>
      </x:c>
      <x:c r="C19" s="31" t="n">
        <x:f>B19/B18-1</x:f>
        <x:v>1.8471212323538366</x:v>
      </x:c>
      <x:c r="D19" s="31" t="n">
        <x:v>0.561737278816312</x:v>
      </x:c>
      <x:c r="E19" s="31" t="n">
        <x:v>0.43826272118368803</x:v>
      </x:c>
      <x:c r="F19" s="31" t="n">
        <x:v>0.5039883564818282</x:v>
      </x:c>
      <x:c r="G19" s="9" t="str">
        <x:v>全球爆发年</x:v>
      </x:c>
    </x:row>
    <x:row r="20">
      <x:c r="A20" s="10" t="str">
        <x:v>2026H1</x:v>
      </x:c>
      <x:c r="B20" s="30" t="n">
        <x:v>17172.921</x:v>
      </x:c>
      <x:c r="C20" s="32" t="n">
        <x:v>0.238</x:v>
      </x:c>
      <x:c r="D20" s="32" t="n">
        <x:v>0.7104504236640931</x:v>
      </x:c>
      <x:c r="E20" s="32" t="n">
        <x:v>0.28954957633590694</x:v>
      </x:c>
      <x:c r="F20" s="32" t="n">
        <x:v>0.5721183950010601</x:v>
      </x:c>
      <x:c r="G20" s="11" t="str">
        <x:v>海外收入同比-11.1%</x:v>
      </x:c>
    </x:row>
  </x:sheetData>
  <x:mergeCells>
    <x:mergeCell ref="A1:L1"/>
    <x:mergeCell ref="A2:L2"/>
    <x:mergeCell ref="D4:L4"/>
    <x:mergeCell ref="D5:L5"/>
    <x:mergeCell ref="D6:L6"/>
    <x:mergeCell ref="D7:L7"/>
    <x:mergeCell ref="D8:L8"/>
    <x:mergeCell ref="D9:L9"/>
    <x:mergeCell ref="D10:L10"/>
  </x:mergeCells>
  <x:pageMargins left="0.7" right="0.7" top="0.75" bottom="0.75" header="0.3" footer="0.3"/>
  <x:drawing xmlns:r="http://schemas.openxmlformats.org/officeDocument/2006/relationships" r:id="R3594001e1bc7405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38" hidden="0" customWidth="1"/>
  </x:cols>
  <x:sheetData>
    <x:row r="1" ht="30" customHeight="1">
      <x:c r="A1" s="2" t="str">
        <x:v>地区收入（长表）</x:v>
      </x:c>
    </x:row>
    <x:row r="2" ht="30" customHeight="1">
      <x:c r="A2" s="5" t="str">
        <x:v>同一年可能出现两套口径；“旧口径”和“新口径”不可横向相加。2025年起PRC含中国大陆及港澳台。</x:v>
      </x:c>
    </x:row>
    <x:row r="4" ht="28" customHeight="1">
      <x:c r="A4" s="17" t="str">
        <x:v>期间</x:v>
      </x:c>
      <x:c r="B4" s="17" t="str">
        <x:v>披露口径</x:v>
      </x:c>
      <x:c r="C4" s="17" t="str">
        <x:v>地区</x:v>
      </x:c>
      <x:c r="D4" s="17" t="str">
        <x:v>收入</x:v>
      </x:c>
      <x:c r="E4" s="17" t="str">
        <x:v>占总收入</x:v>
      </x:c>
      <x:c r="F4" s="17" t="str">
        <x:v>同比</x:v>
      </x:c>
      <x:c r="G4" s="17" t="str">
        <x:v>来源ID</x:v>
      </x:c>
      <x:c r="H4" s="17" t="str">
        <x:v>备注</x:v>
      </x:c>
    </x:row>
    <x:row r="5">
      <x:c r="A5" s="8" t="n">
        <x:v>2021</x:v>
      </x:c>
      <x:c r="B5" s="25" t="str">
        <x:v>旧口径</x:v>
      </x:c>
      <x:c r="C5" s="25" t="str">
        <x:v>中国大陆</x:v>
      </x:c>
      <x:c r="D5" s="29" t="n">
        <x:v>4306.936</x:v>
      </x:c>
      <x:c r="E5" s="31" t="n">
        <x:v>0.9590894505050603</x:v>
      </x:c>
      <x:c r="F5" s="31"/>
      <x:c r="G5" s="25" t="str">
        <x:v>AR2022</x:v>
      </x:c>
      <x:c r="H5" s="9" t="str">
        <x:v>2022年报重列2021比较数</x:v>
      </x:c>
    </x:row>
    <x:row r="6">
      <x:c r="A6" s="8" t="n">
        <x:v>2021</x:v>
      </x:c>
      <x:c r="B6" s="25" t="str">
        <x:v>旧口径</x:v>
      </x:c>
      <x:c r="C6" s="25" t="str">
        <x:v>港澳台及海外</x:v>
      </x:c>
      <x:c r="D6" s="29" t="n">
        <x:v>183.715</x:v>
      </x:c>
      <x:c r="E6" s="31" t="n">
        <x:v>0.0409105494949396</x:v>
      </x:c>
      <x:c r="F6" s="31"/>
      <x:c r="G6" s="25" t="str">
        <x:v>AR2022</x:v>
      </x:c>
      <x:c r="H6" s="9" t="str">
        <x:v>合并口径</x:v>
      </x:c>
    </x:row>
    <x:row r="7">
      <x:c r="A7" s="8" t="n">
        <x:v>2022</x:v>
      </x:c>
      <x:c r="B7" s="25" t="str">
        <x:v>旧口径</x:v>
      </x:c>
      <x:c r="C7" s="25" t="str">
        <x:v>中国大陆</x:v>
      </x:c>
      <x:c r="D7" s="29" t="n">
        <x:v>4163.386</x:v>
      </x:c>
      <x:c r="E7" s="31" t="n">
        <x:v>0.90168807733657</x:v>
      </x:c>
      <x:c r="F7" s="31" t="n">
        <x:v>-0.0333</x:v>
      </x:c>
      <x:c r="G7" s="25" t="str">
        <x:v>AR2022</x:v>
      </x:c>
      <x:c r="H7" s="9" t="str"/>
    </x:row>
    <x:row r="8">
      <x:c r="A8" s="8" t="n">
        <x:v>2022</x:v>
      </x:c>
      <x:c r="B8" s="25" t="str">
        <x:v>旧口径</x:v>
      </x:c>
      <x:c r="C8" s="25" t="str">
        <x:v>港澳台及海外</x:v>
      </x:c>
      <x:c r="D8" s="29" t="n">
        <x:v>453.938</x:v>
      </x:c>
      <x:c r="E8" s="31" t="n">
        <x:v>0.09831192266343017</x:v>
      </x:c>
      <x:c r="F8" s="31" t="n">
        <x:v>1.4703</x:v>
      </x:c>
      <x:c r="G8" s="25" t="str">
        <x:v>AR2022</x:v>
      </x:c>
      <x:c r="H8" s="9" t="str"/>
    </x:row>
    <x:row r="9">
      <x:c r="A9" s="8" t="n">
        <x:v>2023</x:v>
      </x:c>
      <x:c r="B9" s="25" t="str">
        <x:v>旧口径</x:v>
      </x:c>
      <x:c r="C9" s="25" t="str">
        <x:v>中国大陆</x:v>
      </x:c>
      <x:c r="D9" s="29" t="n">
        <x:v>5234.901</x:v>
      </x:c>
      <x:c r="E9" s="31" t="n">
        <x:v>0.8308045291844058</x:v>
      </x:c>
      <x:c r="F9" s="31" t="n">
        <x:v>0.2574</x:v>
      </x:c>
      <x:c r="G9" s="25" t="str">
        <x:v>AR2023</x:v>
      </x:c>
      <x:c r="H9" s="9" t="str"/>
    </x:row>
    <x:row r="10">
      <x:c r="A10" s="8" t="n">
        <x:v>2023</x:v>
      </x:c>
      <x:c r="B10" s="25" t="str">
        <x:v>旧口径</x:v>
      </x:c>
      <x:c r="C10" s="25" t="str">
        <x:v>港澳台及海外</x:v>
      </x:c>
      <x:c r="D10" s="29" t="n">
        <x:v>1066.101</x:v>
      </x:c>
      <x:c r="E10" s="31" t="n">
        <x:v>0.1691954708155941</x:v>
      </x:c>
      <x:c r="F10" s="31" t="n">
        <x:v>1.3486</x:v>
      </x:c>
      <x:c r="G10" s="25" t="str">
        <x:v>AR2023</x:v>
      </x:c>
      <x:c r="H10" s="9" t="str"/>
    </x:row>
    <x:row r="11">
      <x:c r="A11" s="8" t="n">
        <x:v>2024</x:v>
      </x:c>
      <x:c r="B11" s="25" t="str">
        <x:v>旧口径</x:v>
      </x:c>
      <x:c r="C11" s="25" t="str">
        <x:v>中国大陆</x:v>
      </x:c>
      <x:c r="D11" s="29" t="n">
        <x:v>7972.074</x:v>
      </x:c>
      <x:c r="E11" s="31" t="n">
        <x:v>0.6114609201327622</x:v>
      </x:c>
      <x:c r="F11" s="31" t="n">
        <x:v>0.5229</x:v>
      </x:c>
      <x:c r="G11" s="25" t="str">
        <x:v>AR2024</x:v>
      </x:c>
      <x:c r="H11" s="9" t="str"/>
    </x:row>
    <x:row r="12">
      <x:c r="A12" s="8" t="n">
        <x:v>2024</x:v>
      </x:c>
      <x:c r="B12" s="25" t="str">
        <x:v>旧口径</x:v>
      </x:c>
      <x:c r="C12" s="25" t="str">
        <x:v>港澳台及海外</x:v>
      </x:c>
      <x:c r="D12" s="29" t="n">
        <x:v>5065.675</x:v>
      </x:c>
      <x:c r="E12" s="31" t="n">
        <x:v>0.38853907986723785</x:v>
      </x:c>
      <x:c r="F12" s="31" t="n">
        <x:v>3.752</x:v>
      </x:c>
      <x:c r="G12" s="25" t="str">
        <x:v>AR2024</x:v>
      </x:c>
      <x:c r="H12" s="9" t="str"/>
    </x:row>
    <x:row r="13">
      <x:c r="A13" s="8" t="n">
        <x:v>2024</x:v>
      </x:c>
      <x:c r="B13" s="25" t="str">
        <x:v>旧口径细分</x:v>
      </x:c>
      <x:c r="C13" s="25" t="str">
        <x:v>东南亚</x:v>
      </x:c>
      <x:c r="D13" s="29" t="n">
        <x:v>2402.732</x:v>
      </x:c>
      <x:c r="E13" s="31" t="n">
        <x:v>0.18429040166366142</x:v>
      </x:c>
      <x:c r="F13" s="31" t="n">
        <x:v>6.191</x:v>
      </x:c>
      <x:c r="G13" s="25" t="str">
        <x:v>AR2024</x:v>
      </x:c>
      <x:c r="H13" s="9" t="str">
        <x:v>港澳台及海外的细分</x:v>
      </x:c>
    </x:row>
    <x:row r="14">
      <x:c r="A14" s="8" t="n">
        <x:v>2024</x:v>
      </x:c>
      <x:c r="B14" s="25" t="str">
        <x:v>旧口径细分</x:v>
      </x:c>
      <x:c r="C14" s="25" t="str">
        <x:v>东亚及港澳台</x:v>
      </x:c>
      <x:c r="D14" s="29" t="n">
        <x:v>1385.666</x:v>
      </x:c>
      <x:c r="E14" s="31" t="n">
        <x:v>0.10628107658768396</x:v>
      </x:c>
      <x:c r="F14" s="31" t="n">
        <x:v>1.846</x:v>
      </x:c>
      <x:c r="G14" s="25" t="str">
        <x:v>AR2024</x:v>
      </x:c>
      <x:c r="H14" s="9" t="str"/>
    </x:row>
    <x:row r="15">
      <x:c r="A15" s="8" t="n">
        <x:v>2024</x:v>
      </x:c>
      <x:c r="B15" s="25" t="str">
        <x:v>旧口径细分</x:v>
      </x:c>
      <x:c r="C15" s="25" t="str">
        <x:v>北美</x:v>
      </x:c>
      <x:c r="D15" s="29" t="n">
        <x:v>723.025</x:v>
      </x:c>
      <x:c r="E15" s="31" t="n">
        <x:v>0.055456275465956585</x:v>
      </x:c>
      <x:c r="F15" s="31" t="n">
        <x:v>5.569</x:v>
      </x:c>
      <x:c r="G15" s="25" t="str">
        <x:v>AR2024</x:v>
      </x:c>
      <x:c r="H15" s="9" t="str"/>
    </x:row>
    <x:row r="16">
      <x:c r="A16" s="8" t="n">
        <x:v>2024</x:v>
      </x:c>
      <x:c r="B16" s="25" t="str">
        <x:v>旧口径细分</x:v>
      </x:c>
      <x:c r="C16" s="25" t="str">
        <x:v>欧澳及其他</x:v>
      </x:c>
      <x:c r="D16" s="29" t="n">
        <x:v>554.252</x:v>
      </x:c>
      <x:c r="E16" s="31" t="n">
        <x:v>0.04251132614993585</x:v>
      </x:c>
      <x:c r="F16" s="31" t="n">
        <x:v>3.107</x:v>
      </x:c>
      <x:c r="G16" s="25" t="str">
        <x:v>AR2024</x:v>
      </x:c>
      <x:c r="H16" s="9" t="str"/>
    </x:row>
    <x:row r="17">
      <x:c r="A17" s="8" t="n">
        <x:v>2024</x:v>
      </x:c>
      <x:c r="B17" s="25" t="str">
        <x:v>新口径重列</x:v>
      </x:c>
      <x:c r="C17" s="25" t="str">
        <x:v>PRC</x:v>
      </x:c>
      <x:c r="D17" s="29" t="n">
        <x:v>8886.483</x:v>
      </x:c>
      <x:c r="E17" s="31" t="n">
        <x:v>0.6815964166820515</x:v>
      </x:c>
      <x:c r="F17" s="31"/>
      <x:c r="G17" s="25" t="str">
        <x:v>AR2025</x:v>
      </x:c>
      <x:c r="H17" s="9" t="str">
        <x:v>含中国大陆及港澳台</x:v>
      </x:c>
    </x:row>
    <x:row r="18">
      <x:c r="A18" s="8" t="n">
        <x:v>2024</x:v>
      </x:c>
      <x:c r="B18" s="25" t="str">
        <x:v>新口径重列</x:v>
      </x:c>
      <x:c r="C18" s="25" t="str">
        <x:v>亚太</x:v>
      </x:c>
      <x:c r="D18" s="29" t="n">
        <x:v>3109.7</x:v>
      </x:c>
      <x:c r="E18" s="31" t="n">
        <x:v>0.23851509950068833</x:v>
      </x:c>
      <x:c r="F18" s="31"/>
      <x:c r="G18" s="25" t="str">
        <x:v>AR2025</x:v>
      </x:c>
      <x:c r="H18" s="9" t="str">
        <x:v>不含PRC</x:v>
      </x:c>
    </x:row>
    <x:row r="19">
      <x:c r="A19" s="8" t="n">
        <x:v>2024</x:v>
      </x:c>
      <x:c r="B19" s="25" t="str">
        <x:v>新口径重列</x:v>
      </x:c>
      <x:c r="C19" s="25" t="str">
        <x:v>美洲</x:v>
      </x:c>
      <x:c r="D19" s="29" t="n">
        <x:v>802.219</x:v>
      </x:c>
      <x:c r="E19" s="31" t="n">
        <x:v>0.0615304835213502</x:v>
      </x:c>
      <x:c r="F19" s="31"/>
      <x:c r="G19" s="25" t="str">
        <x:v>AR2025</x:v>
      </x:c>
      <x:c r="H19" s="9" t="str"/>
    </x:row>
    <x:row r="20">
      <x:c r="A20" s="8" t="n">
        <x:v>2024</x:v>
      </x:c>
      <x:c r="B20" s="25" t="str">
        <x:v>新口径重列</x:v>
      </x:c>
      <x:c r="C20" s="25" t="str">
        <x:v>欧洲及其他</x:v>
      </x:c>
      <x:c r="D20" s="29" t="n">
        <x:v>239.347</x:v>
      </x:c>
      <x:c r="E20" s="31" t="n">
        <x:v>0.018358000295909976</x:v>
      </x:c>
      <x:c r="F20" s="31"/>
      <x:c r="G20" s="25" t="str">
        <x:v>AR2025</x:v>
      </x:c>
      <x:c r="H20" s="9" t="str">
        <x:v>与旧口径欧澳及其他不可直接比较</x:v>
      </x:c>
    </x:row>
    <x:row r="21">
      <x:c r="A21" s="8" t="n">
        <x:v>2025</x:v>
      </x:c>
      <x:c r="B21" s="25" t="str">
        <x:v>新口径</x:v>
      </x:c>
      <x:c r="C21" s="25" t="str">
        <x:v>PRC</x:v>
      </x:c>
      <x:c r="D21" s="29" t="n">
        <x:v>20851.717</x:v>
      </x:c>
      <x:c r="E21" s="31" t="n">
        <x:v>0.561737278816312</x:v>
      </x:c>
      <x:c r="F21" s="31" t="n">
        <x:v>1.346</x:v>
      </x:c>
      <x:c r="G21" s="25" t="str">
        <x:v>AR2025</x:v>
      </x:c>
      <x:c r="H21" s="9" t="str"/>
    </x:row>
    <x:row r="22">
      <x:c r="A22" s="8" t="n">
        <x:v>2025</x:v>
      </x:c>
      <x:c r="B22" s="25" t="str">
        <x:v>新口径</x:v>
      </x:c>
      <x:c r="C22" s="25" t="str">
        <x:v>亚太</x:v>
      </x:c>
      <x:c r="D22" s="29" t="n">
        <x:v>8011.027</x:v>
      </x:c>
      <x:c r="E22" s="31" t="n">
        <x:v>0.21581400263124628</x:v>
      </x:c>
      <x:c r="F22" s="31" t="n">
        <x:v>1.576</x:v>
      </x:c>
      <x:c r="G22" s="25" t="str">
        <x:v>AR2025</x:v>
      </x:c>
      <x:c r="H22" s="9" t="str"/>
    </x:row>
    <x:row r="23">
      <x:c r="A23" s="8" t="n">
        <x:v>2025</x:v>
      </x:c>
      <x:c r="B23" s="25" t="str">
        <x:v>新口径</x:v>
      </x:c>
      <x:c r="C23" s="25" t="str">
        <x:v>美洲</x:v>
      </x:c>
      <x:c r="D23" s="29" t="n">
        <x:v>6806.189</x:v>
      </x:c>
      <x:c r="E23" s="31" t="n">
        <x:v>0.18335612784163124</x:v>
      </x:c>
      <x:c r="F23" s="31" t="n">
        <x:v>7.484</x:v>
      </x:c>
      <x:c r="G23" s="25" t="str">
        <x:v>AR2025</x:v>
      </x:c>
      <x:c r="H23" s="9" t="str"/>
    </x:row>
    <x:row r="24">
      <x:c r="A24" s="8" t="n">
        <x:v>2025</x:v>
      </x:c>
      <x:c r="B24" s="25" t="str">
        <x:v>新口径</x:v>
      </x:c>
      <x:c r="C24" s="25" t="str">
        <x:v>欧洲及其他</x:v>
      </x:c>
      <x:c r="D24" s="29" t="n">
        <x:v>1451.119</x:v>
      </x:c>
      <x:c r="E24" s="31" t="n">
        <x:v>0.03909259071081042</x:v>
      </x:c>
      <x:c r="F24" s="31" t="n">
        <x:v>5.063</x:v>
      </x:c>
      <x:c r="G24" s="25" t="str">
        <x:v>AR2025</x:v>
      </x:c>
      <x:c r="H24" s="9" t="str"/>
    </x:row>
    <x:row r="25">
      <x:c r="A25" s="8" t="n">
        <x:v>2025</x:v>
      </x:c>
      <x:c r="B25" s="25" t="str">
        <x:v>新口径</x:v>
      </x:c>
      <x:c r="C25" s="25" t="str">
        <x:v>合计</x:v>
      </x:c>
      <x:c r="D25" s="29" t="n">
        <x:v>37120.052</x:v>
      </x:c>
      <x:c r="E25" s="31" t="n">
        <x:v>1</x:v>
      </x:c>
      <x:c r="F25" s="31" t="n">
        <x:v>1.847</x:v>
      </x:c>
      <x:c r="G25" s="25" t="str">
        <x:v>AR2025</x:v>
      </x:c>
      <x:c r="H25" s="9" t="str"/>
    </x:row>
    <x:row r="26">
      <x:c r="A26" s="8" t="str">
        <x:v>2025H1</x:v>
      </x:c>
      <x:c r="B26" s="25" t="str">
        <x:v>新口径</x:v>
      </x:c>
      <x:c r="C26" s="25" t="str">
        <x:v>PRC</x:v>
      </x:c>
      <x:c r="D26" s="29" t="n">
        <x:v>8282.812</x:v>
      </x:c>
      <x:c r="E26" s="31" t="n">
        <x:v>0.5969045297167627</x:v>
      </x:c>
      <x:c r="F26" s="31"/>
      <x:c r="G26" s="25" t="str">
        <x:v>H12026</x:v>
      </x:c>
      <x:c r="H26" s="9" t="str">
        <x:v>2026中报比较数</x:v>
      </x:c>
    </x:row>
    <x:row r="27">
      <x:c r="A27" s="8" t="str">
        <x:v>2025H1</x:v>
      </x:c>
      <x:c r="B27" s="25" t="str">
        <x:v>新口径</x:v>
      </x:c>
      <x:c r="C27" s="25" t="str">
        <x:v>亚太</x:v>
      </x:c>
      <x:c r="D27" s="29" t="n">
        <x:v>2850.902</x:v>
      </x:c>
      <x:c r="E27" s="31" t="n">
        <x:v>0.2054515202782072</x:v>
      </x:c>
      <x:c r="F27" s="31"/>
      <x:c r="G27" s="25" t="str">
        <x:v>H12026</x:v>
      </x:c>
      <x:c r="H27" s="9" t="str"/>
    </x:row>
    <x:row r="28">
      <x:c r="A28" s="8" t="str">
        <x:v>2025H1</x:v>
      </x:c>
      <x:c r="B28" s="25" t="str">
        <x:v>新口径</x:v>
      </x:c>
      <x:c r="C28" s="25" t="str">
        <x:v>美洲</x:v>
      </x:c>
      <x:c r="D28" s="29" t="n">
        <x:v>2264.882</x:v>
      </x:c>
      <x:c r="E28" s="31" t="n">
        <x:v>0.16321972840551746</x:v>
      </x:c>
      <x:c r="F28" s="31"/>
      <x:c r="G28" s="25" t="str">
        <x:v>H12026</x:v>
      </x:c>
      <x:c r="H28" s="9" t="str"/>
    </x:row>
    <x:row r="29">
      <x:c r="A29" s="8" t="str">
        <x:v>2025H1</x:v>
      </x:c>
      <x:c r="B29" s="25" t="str">
        <x:v>新口径</x:v>
      </x:c>
      <x:c r="C29" s="25" t="str">
        <x:v>欧洲及其他</x:v>
      </x:c>
      <x:c r="D29" s="29" t="n">
        <x:v>477.68</x:v>
      </x:c>
      <x:c r="E29" s="31" t="n">
        <x:v>0.03442422159951272</x:v>
      </x:c>
      <x:c r="F29" s="31"/>
      <x:c r="G29" s="25" t="str">
        <x:v>H12026</x:v>
      </x:c>
      <x:c r="H29" s="9" t="str"/>
    </x:row>
    <x:row r="30">
      <x:c r="A30" s="8" t="str">
        <x:v>2025H1</x:v>
      </x:c>
      <x:c r="B30" s="25" t="str">
        <x:v>新口径</x:v>
      </x:c>
      <x:c r="C30" s="25" t="str">
        <x:v>海外合计</x:v>
      </x:c>
      <x:c r="D30" s="29" t="n">
        <x:v>5593.464</x:v>
      </x:c>
      <x:c r="E30" s="31" t="n">
        <x:v>0.4030954702832374</x:v>
      </x:c>
      <x:c r="F30" s="31"/>
      <x:c r="G30" s="25" t="str">
        <x:v>H12026</x:v>
      </x:c>
      <x:c r="H30" s="9" t="str"/>
    </x:row>
    <x:row r="31">
      <x:c r="A31" s="8" t="str">
        <x:v>2026H1</x:v>
      </x:c>
      <x:c r="B31" s="25" t="str">
        <x:v>新口径</x:v>
      </x:c>
      <x:c r="C31" s="25" t="str">
        <x:v>PRC</x:v>
      </x:c>
      <x:c r="D31" s="29" t="n">
        <x:v>12200.509</x:v>
      </x:c>
      <x:c r="E31" s="31" t="n">
        <x:v>0.7104504236640931</x:v>
      </x:c>
      <x:c r="F31" s="31" t="n">
        <x:v>0.473</x:v>
      </x:c>
      <x:c r="G31" s="25" t="str">
        <x:v>H12026</x:v>
      </x:c>
      <x:c r="H31" s="9" t="str"/>
    </x:row>
    <x:row r="32">
      <x:c r="A32" s="8" t="str">
        <x:v>2026H1</x:v>
      </x:c>
      <x:c r="B32" s="25" t="str">
        <x:v>新口径</x:v>
      </x:c>
      <x:c r="C32" s="25" t="str">
        <x:v>亚太</x:v>
      </x:c>
      <x:c r="D32" s="29" t="n">
        <x:v>2575.045</x:v>
      </x:c>
      <x:c r="E32" s="31" t="n">
        <x:v>0.14994799079317958</x:v>
      </x:c>
      <x:c r="F32" s="31" t="n">
        <x:v>-0.097</x:v>
      </x:c>
      <x:c r="G32" s="25" t="str">
        <x:v>H12026</x:v>
      </x:c>
      <x:c r="H32" s="9" t="str"/>
    </x:row>
    <x:row r="33">
      <x:c r="A33" s="8" t="str">
        <x:v>2026H1</x:v>
      </x:c>
      <x:c r="B33" s="25" t="str">
        <x:v>新口径</x:v>
      </x:c>
      <x:c r="C33" s="25" t="str">
        <x:v>美洲</x:v>
      </x:c>
      <x:c r="D33" s="29" t="n">
        <x:v>1891.637</x:v>
      </x:c>
      <x:c r="E33" s="31" t="n">
        <x:v>0.11015231479839685</x:v>
      </x:c>
      <x:c r="F33" s="31" t="n">
        <x:v>-0.165</x:v>
      </x:c>
      <x:c r="G33" s="25" t="str">
        <x:v>H12026</x:v>
      </x:c>
      <x:c r="H33" s="9" t="str"/>
    </x:row>
    <x:row r="34">
      <x:c r="A34" s="8" t="str">
        <x:v>2026H1</x:v>
      </x:c>
      <x:c r="B34" s="25" t="str">
        <x:v>新口径</x:v>
      </x:c>
      <x:c r="C34" s="25" t="str">
        <x:v>欧洲及其他</x:v>
      </x:c>
      <x:c r="D34" s="29" t="n">
        <x:v>505.73</x:v>
      </x:c>
      <x:c r="E34" s="31" t="n">
        <x:v>0.02944927074433057</x:v>
      </x:c>
      <x:c r="F34" s="31" t="n">
        <x:v>0.059</x:v>
      </x:c>
      <x:c r="G34" s="25" t="str">
        <x:v>H12026</x:v>
      </x:c>
      <x:c r="H34" s="9" t="str"/>
    </x:row>
    <x:row r="35">
      <x:c r="A35" s="10" t="str">
        <x:v>2026H1</x:v>
      </x:c>
      <x:c r="B35" s="26" t="str">
        <x:v>新口径</x:v>
      </x:c>
      <x:c r="C35" s="26" t="str">
        <x:v>海外合计</x:v>
      </x:c>
      <x:c r="D35" s="30" t="n">
        <x:v>4972.412</x:v>
      </x:c>
      <x:c r="E35" s="32" t="n">
        <x:v>0.289549576335907</x:v>
      </x:c>
      <x:c r="F35" s="32" t="n">
        <x:v>-0.111</x:v>
      </x:c>
      <x:c r="G35" s="26" t="str">
        <x:v>H12026</x:v>
      </x:c>
      <x:c r="H35" s="11" t="str">
        <x:v>计算值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</x:cols>
  <x:sheetData>
    <x:row r="1" ht="30" customHeight="1">
      <x:c r="A1" s="2" t="str">
        <x:v>年度渠道结构</x:v>
      </x:c>
    </x:row>
    <x:row r="2" ht="30" customHeight="1">
      <x:c r="A2" s="5" t="str">
        <x:v>2021和2024采用后一年度报告中的最新重分类比较数；收入单位：人民币百万元。</x:v>
      </x:c>
    </x:row>
    <x:row r="4" ht="28" customHeight="1">
      <x:c r="A4" s="17" t="str">
        <x:v>年度</x:v>
      </x:c>
      <x:c r="B4" s="17" t="str">
        <x:v>零售店</x:v>
      </x:c>
      <x:c r="C4" s="17" t="str">
        <x:v>机器人商店</x:v>
      </x:c>
      <x:c r="D4" s="17" t="str">
        <x:v>线下合计</x:v>
      </x:c>
      <x:c r="E4" s="17" t="str">
        <x:v>线上</x:v>
      </x:c>
      <x:c r="F4" s="17" t="str">
        <x:v>批发及其他</x:v>
      </x:c>
      <x:c r="G4" s="17" t="str">
        <x:v>其他/差额</x:v>
      </x:c>
      <x:c r="H4" s="17" t="str">
        <x:v>总收入</x:v>
      </x:c>
      <x:c r="I4" s="17" t="str">
        <x:v>线下占比</x:v>
      </x:c>
      <x:c r="J4" s="17" t="str">
        <x:v>线上占比</x:v>
      </x:c>
      <x:c r="K4" s="17" t="str">
        <x:v>来源ID</x:v>
      </x:c>
    </x:row>
    <x:row r="5">
      <x:c r="A5" s="8" t="n">
        <x:v>2020</x:v>
      </x:c>
      <x:c r="B5" s="29" t="n">
        <x:v>1002.054</x:v>
      </x:c>
      <x:c r="C5" s="29" t="n">
        <x:v>328.679</x:v>
      </x:c>
      <x:c r="D5" s="29" t="n">
        <x:f>SUM(B5:C5)</x:f>
        <x:v>1330.733</x:v>
      </x:c>
      <x:c r="E5" s="29" t="n">
        <x:v>951.875</x:v>
      </x:c>
      <x:c r="F5" s="29" t="n">
        <x:v>230.863</x:v>
      </x:c>
      <x:c r="G5" s="29" t="n">
        <x:v>0</x:v>
      </x:c>
      <x:c r="H5" s="29" t="n">
        <x:v>2513.471</x:v>
      </x:c>
      <x:c r="I5" s="31" t="n">
        <x:f>D5/H5</x:f>
        <x:v>0.5294403635450737</x:v>
      </x:c>
      <x:c r="J5" s="31" t="n">
        <x:f>E5/H5</x:f>
        <x:v>0.37870936247125986</x:v>
      </x:c>
      <x:c r="K5" s="9" t="str">
        <x:v>AR2020</x:v>
      </x:c>
    </x:row>
    <x:row r="6">
      <x:c r="A6" s="8" t="n">
        <x:v>2021</x:v>
      </x:c>
      <x:c r="B6" s="29" t="n">
        <x:v>1673.386</x:v>
      </x:c>
      <x:c r="C6" s="29" t="n">
        <x:v>469.803</x:v>
      </x:c>
      <x:c r="D6" s="29" t="n">
        <x:f>SUM(B6:C6)</x:f>
        <x:v>2143.189</x:v>
      </x:c>
      <x:c r="E6" s="29" t="n">
        <x:v>1902.645</x:v>
      </x:c>
      <x:c r="F6" s="29" t="n">
        <x:v>444.817</x:v>
      </x:c>
      <x:c r="G6" s="29" t="n">
        <x:v>0</x:v>
      </x:c>
      <x:c r="H6" s="29" t="n">
        <x:v>4490.651</x:v>
      </x:c>
      <x:c r="I6" s="31" t="n">
        <x:f>D6/H6</x:f>
        <x:v>0.47725574755196964</x:v>
      </x:c>
      <x:c r="J6" s="31" t="n">
        <x:f>E6/H6</x:f>
        <x:v>0.42369024001197153</x:v>
      </x:c>
      <x:c r="K6" s="9" t="str">
        <x:v>AR2022</x:v>
      </x:c>
    </x:row>
    <x:row r="7">
      <x:c r="A7" s="8" t="n">
        <x:v>2022</x:v>
      </x:c>
      <x:c r="B7" s="29" t="n">
        <x:v>1826.671</x:v>
      </x:c>
      <x:c r="C7" s="29" t="n">
        <x:v>394.039</x:v>
      </x:c>
      <x:c r="D7" s="29" t="n">
        <x:f>SUM(B7:C7)</x:f>
        <x:v>2220.71</x:v>
      </x:c>
      <x:c r="E7" s="29" t="n">
        <x:v>1920.033</x:v>
      </x:c>
      <x:c r="F7" s="29" t="n">
        <x:v>476.581</x:v>
      </x:c>
      <x:c r="G7" s="29" t="n">
        <x:v>0</x:v>
      </x:c>
      <x:c r="H7" s="29" t="n">
        <x:v>4617.324</x:v>
      </x:c>
      <x:c r="I7" s="31" t="n">
        <x:f>D7/H7</x:f>
        <x:v>0.48095173741327235</x:v>
      </x:c>
      <x:c r="J7" s="31" t="n">
        <x:f>E7/H7</x:f>
        <x:v>0.4158324172182849</x:v>
      </x:c>
      <x:c r="K7" s="9" t="str">
        <x:v>AR2022</x:v>
      </x:c>
    </x:row>
    <x:row r="8">
      <x:c r="A8" s="8" t="n">
        <x:v>2023</x:v>
      </x:c>
      <x:c r="B8" s="29" t="n">
        <x:v>3062.152</x:v>
      </x:c>
      <x:c r="C8" s="29" t="n">
        <x:v>605.95</x:v>
      </x:c>
      <x:c r="D8" s="29" t="n">
        <x:f>SUM(B8:C8)</x:f>
        <x:v>3668.102</x:v>
      </x:c>
      <x:c r="E8" s="29" t="n">
        <x:v>1866.274</x:v>
      </x:c>
      <x:c r="F8" s="29" t="n">
        <x:v>766.626</x:v>
      </x:c>
      <x:c r="G8" s="29" t="n">
        <x:v>0</x:v>
      </x:c>
      <x:c r="H8" s="29" t="n">
        <x:v>6301.002</x:v>
      </x:c>
      <x:c r="I8" s="31" t="n">
        <x:f>D8/H8</x:f>
        <x:v>0.5821458237912002</x:v>
      </x:c>
      <x:c r="J8" s="31" t="n">
        <x:f>E8/H8</x:f>
        <x:v>0.2961868604390222</x:v>
      </x:c>
      <x:c r="K8" s="9" t="str">
        <x:v>AR2023</x:v>
      </x:c>
    </x:row>
    <x:row r="9">
      <x:c r="A9" s="8" t="n">
        <x:v>2024</x:v>
      </x:c>
      <x:c r="B9" s="29" t="n">
        <x:v>6766.861</x:v>
      </x:c>
      <x:c r="C9" s="29" t="n">
        <x:v>831.363</x:v>
      </x:c>
      <x:c r="D9" s="29" t="n">
        <x:f>SUM(B9:C9)</x:f>
        <x:v>7598.224</x:v>
      </x:c>
      <x:c r="E9" s="29" t="n">
        <x:v>4163.082</x:v>
      </x:c>
      <x:c r="F9" s="29" t="n">
        <x:v>1276.443</x:v>
      </x:c>
      <x:c r="G9" s="29" t="n">
        <x:v>0</x:v>
      </x:c>
      <x:c r="H9" s="29" t="n">
        <x:v>13037.749</x:v>
      </x:c>
      <x:c r="I9" s="31" t="n">
        <x:f>D9/H9</x:f>
        <x:v>0.5827864917479237</x:v>
      </x:c>
      <x:c r="J9" s="31" t="n">
        <x:f>E9/H9</x:f>
        <x:v>0.31930987473374434</x:v>
      </x:c>
      <x:c r="K9" s="9" t="str">
        <x:v>AR2025</x:v>
      </x:c>
    </x:row>
    <x:row r="10">
      <x:c r="A10" s="10" t="n">
        <x:v>2025</x:v>
      </x:c>
      <x:c r="B10" s="30" t="n">
        <x:v>17254.326</x:v>
      </x:c>
      <x:c r="C10" s="30" t="n">
        <x:v>1689.446</x:v>
      </x:c>
      <x:c r="D10" s="30" t="n">
        <x:f>SUM(B10:C10)</x:f>
        <x:v>18943.772</x:v>
      </x:c>
      <x:c r="E10" s="30" t="n">
        <x:v>16433.829</x:v>
      </x:c>
      <x:c r="F10" s="30" t="n">
        <x:v>1742.451</x:v>
      </x:c>
      <x:c r="G10" s="30" t="n">
        <x:v>0</x:v>
      </x:c>
      <x:c r="H10" s="30" t="n">
        <x:v>37120.052</x:v>
      </x:c>
      <x:c r="I10" s="32" t="n">
        <x:f>D10/H10</x:f>
        <x:v>0.5103379704317225</x:v>
      </x:c>
      <x:c r="J10" s="32" t="n">
        <x:f>E10/H10</x:f>
        <x:v>0.442721066231265</x:v>
      </x:c>
      <x:c r="K10" s="11" t="str">
        <x:v>AR2025</x:v>
      </x:c>
    </x:row>
    <x:row r="13" ht="28" customHeight="1">
      <x:c r="A13" s="17" t="str">
        <x:v>期间</x:v>
      </x:c>
      <x:c r="B13" s="17" t="str">
        <x:v>零售店</x:v>
      </x:c>
      <x:c r="C13" s="17" t="str">
        <x:v>机器人商店</x:v>
      </x:c>
      <x:c r="D13" s="17" t="str">
        <x:v>线下合计</x:v>
      </x:c>
      <x:c r="E13" s="17" t="str">
        <x:v>线上</x:v>
      </x:c>
      <x:c r="F13" s="17" t="str">
        <x:v>批发及其他</x:v>
      </x:c>
      <x:c r="G13" s="17" t="str">
        <x:v>总收入</x:v>
      </x:c>
      <x:c r="H13" s="17" t="str">
        <x:v>来源ID</x:v>
      </x:c>
    </x:row>
    <x:row r="14">
      <x:c r="A14" s="8" t="str">
        <x:v>2025H1</x:v>
      </x:c>
      <x:c r="B14" s="29" t="n">
        <x:v>6908.01</x:v>
      </x:c>
      <x:c r="C14" s="29" t="n">
        <x:v>820.741</x:v>
      </x:c>
      <x:c r="D14" s="29" t="n">
        <x:f>SUM(B14:C14)</x:f>
        <x:v>7728.751</x:v>
      </x:c>
      <x:c r="E14" s="29" t="n">
        <x:v>5497.997</x:v>
      </x:c>
      <x:c r="F14" s="29" t="n">
        <x:v>649.528</x:v>
      </x:c>
      <x:c r="G14" s="29" t="n">
        <x:v>13876.276</x:v>
      </x:c>
      <x:c r="H14" s="9" t="str">
        <x:v>H12026</x:v>
      </x:c>
    </x:row>
    <x:row r="15">
      <x:c r="A15" s="8" t="str">
        <x:v>2026H1</x:v>
      </x:c>
      <x:c r="B15" s="29" t="n">
        <x:v>9111.986</x:v>
      </x:c>
      <x:c r="C15" s="29" t="n">
        <x:v>950.526</x:v>
      </x:c>
      <x:c r="D15" s="29" t="n">
        <x:f>SUM(B15:C15)</x:f>
        <x:v>10062.512</x:v>
      </x:c>
      <x:c r="E15" s="29" t="n">
        <x:v>6212.072</x:v>
      </x:c>
      <x:c r="F15" s="29" t="n">
        <x:v>898.337</x:v>
      </x:c>
      <x:c r="G15" s="29" t="n">
        <x:v>17172.921</x:v>
      </x:c>
      <x:c r="H15" s="9" t="str">
        <x:v>H12026</x:v>
      </x:c>
    </x:row>
    <x:row r="16">
      <x:c r="A16" s="10" t="str">
        <x:v>说明</x:v>
      </x:c>
      <x:c r="B16" s="30"/>
      <x:c r="C16" s="30"/>
      <x:c r="D16" s="30"/>
      <x:c r="E16" s="30"/>
      <x:c r="F16" s="30"/>
      <x:c r="G16" s="30"/>
      <x:c r="H16" s="11" t="str">
        <x:v>2025H1完整地区渠道拆分见‘地区渠道矩阵’，本行不用于计算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2" t="str">
        <x:v>地区 × 渠道矩阵</x:v>
      </x:c>
    </x:row>
    <x:row r="2" ht="30" customHeight="1">
      <x:c r="A2" s="5" t="str">
        <x:v>用于判断增长来自线上流量还是线下门店。2024/2025为全年，2025H1/2026H1为半年。</x:v>
      </x:c>
    </x:row>
    <x:row r="4" ht="28" customHeight="1">
      <x:c r="A4" s="17" t="str">
        <x:v>期间</x:v>
      </x:c>
      <x:c r="B4" s="17" t="str">
        <x:v>地区</x:v>
      </x:c>
      <x:c r="C4" s="17" t="str">
        <x:v>线下</x:v>
      </x:c>
      <x:c r="D4" s="17" t="str">
        <x:v>线上</x:v>
      </x:c>
      <x:c r="E4" s="17" t="str">
        <x:v>批发及其他</x:v>
      </x:c>
      <x:c r="F4" s="17" t="str">
        <x:v>总收入</x:v>
      </x:c>
      <x:c r="G4" s="17" t="str">
        <x:v>线下同比</x:v>
      </x:c>
      <x:c r="H4" s="17" t="str">
        <x:v>线上同比</x:v>
      </x:c>
    </x:row>
    <x:row r="5">
      <x:c r="A5" s="8" t="n">
        <x:v>2024</x:v>
      </x:c>
      <x:c r="B5" s="25" t="str">
        <x:v>PRC</x:v>
      </x:c>
      <x:c r="C5" s="29" t="n">
        <x:v>5351.613</x:v>
      </x:c>
      <x:c r="D5" s="29" t="n">
        <x:v>2771.95</x:v>
      </x:c>
      <x:c r="E5" s="29" t="n">
        <x:v>762.92</x:v>
      </x:c>
      <x:c r="F5" s="29" t="n">
        <x:v>8886.483</x:v>
      </x:c>
      <x:c r="G5" s="31"/>
      <x:c r="H5" s="18"/>
    </x:row>
    <x:row r="6">
      <x:c r="A6" s="8" t="n">
        <x:v>2024</x:v>
      </x:c>
      <x:c r="B6" s="25" t="str">
        <x:v>亚太</x:v>
      </x:c>
      <x:c r="C6" s="29" t="n">
        <x:v>1707.736</x:v>
      </x:c>
      <x:c r="D6" s="29" t="n">
        <x:v>971.631</x:v>
      </x:c>
      <x:c r="E6" s="29" t="n">
        <x:v>430.333</x:v>
      </x:c>
      <x:c r="F6" s="29" t="n">
        <x:v>3109.7</x:v>
      </x:c>
      <x:c r="G6" s="31"/>
      <x:c r="H6" s="18"/>
    </x:row>
    <x:row r="7">
      <x:c r="A7" s="8" t="n">
        <x:v>2024</x:v>
      </x:c>
      <x:c r="B7" s="25" t="str">
        <x:v>美洲</x:v>
      </x:c>
      <x:c r="C7" s="29" t="n">
        <x:v>379.581</x:v>
      </x:c>
      <x:c r="D7" s="29" t="n">
        <x:v>364.345</x:v>
      </x:c>
      <x:c r="E7" s="29" t="n">
        <x:v>58.293</x:v>
      </x:c>
      <x:c r="F7" s="29" t="n">
        <x:v>802.219</x:v>
      </x:c>
      <x:c r="G7" s="31"/>
      <x:c r="H7" s="18"/>
    </x:row>
    <x:row r="8">
      <x:c r="A8" s="8" t="n">
        <x:v>2024</x:v>
      </x:c>
      <x:c r="B8" s="25" t="str">
        <x:v>欧洲及其他</x:v>
      </x:c>
      <x:c r="C8" s="29" t="n">
        <x:v>159.294</x:v>
      </x:c>
      <x:c r="D8" s="29" t="n">
        <x:v>55.156</x:v>
      </x:c>
      <x:c r="E8" s="29" t="n">
        <x:v>24.897</x:v>
      </x:c>
      <x:c r="F8" s="29" t="n">
        <x:v>239.347</x:v>
      </x:c>
      <x:c r="G8" s="31"/>
      <x:c r="H8" s="18"/>
    </x:row>
    <x:row r="9">
      <x:c r="A9" s="8" t="n">
        <x:v>2024</x:v>
      </x:c>
      <x:c r="B9" s="25" t="str">
        <x:v>海外合计</x:v>
      </x:c>
      <x:c r="C9" s="29" t="n">
        <x:v>2246.611</x:v>
      </x:c>
      <x:c r="D9" s="29" t="n">
        <x:v>1391.132</x:v>
      </x:c>
      <x:c r="E9" s="29" t="n">
        <x:v>513.523</x:v>
      </x:c>
      <x:c r="F9" s="29" t="n">
        <x:v>4151.266</x:v>
      </x:c>
      <x:c r="G9" s="31"/>
      <x:c r="H9" s="18"/>
    </x:row>
    <x:row r="10">
      <x:c r="A10" s="8" t="n">
        <x:v>2025</x:v>
      </x:c>
      <x:c r="B10" s="25" t="str">
        <x:v>PRC</x:v>
      </x:c>
      <x:c r="C10" s="29" t="n">
        <x:v>11421.362</x:v>
      </x:c>
      <x:c r="D10" s="29" t="n">
        <x:v>8522.321</x:v>
      </x:c>
      <x:c r="E10" s="29" t="n">
        <x:v>908.034</x:v>
      </x:c>
      <x:c r="F10" s="29" t="n">
        <x:v>20851.717</x:v>
      </x:c>
      <x:c r="G10" s="31" t="n">
        <x:v>1.134</x:v>
      </x:c>
      <x:c r="H10" s="18" t="n">
        <x:v>2.074</x:v>
      </x:c>
    </x:row>
    <x:row r="11">
      <x:c r="A11" s="8" t="n">
        <x:v>2025</x:v>
      </x:c>
      <x:c r="B11" s="25" t="str">
        <x:v>亚太</x:v>
      </x:c>
      <x:c r="C11" s="29" t="n">
        <x:v>4414.062</x:v>
      </x:c>
      <x:c r="D11" s="29" t="n">
        <x:v>3052.963</x:v>
      </x:c>
      <x:c r="E11" s="29" t="n">
        <x:v>544.002</x:v>
      </x:c>
      <x:c r="F11" s="29" t="n">
        <x:v>8011.027</x:v>
      </x:c>
      <x:c r="G11" s="31" t="n">
        <x:v>1.585</x:v>
      </x:c>
      <x:c r="H11" s="18" t="n">
        <x:v>2.142</x:v>
      </x:c>
    </x:row>
    <x:row r="12">
      <x:c r="A12" s="8" t="n">
        <x:v>2025</x:v>
      </x:c>
      <x:c r="B12" s="25" t="str">
        <x:v>美洲</x:v>
      </x:c>
      <x:c r="C12" s="29" t="n">
        <x:v>2235.529</x:v>
      </x:c>
      <x:c r="D12" s="29" t="n">
        <x:v>4353.581</x:v>
      </x:c>
      <x:c r="E12" s="29" t="n">
        <x:v>217.079</x:v>
      </x:c>
      <x:c r="F12" s="29" t="n">
        <x:v>6806.189</x:v>
      </x:c>
      <x:c r="G12" s="31" t="n">
        <x:v>4.889</x:v>
      </x:c>
      <x:c r="H12" s="18" t="n">
        <x:v>10.949</x:v>
      </x:c>
    </x:row>
    <x:row r="13">
      <x:c r="A13" s="8" t="n">
        <x:v>2025</x:v>
      </x:c>
      <x:c r="B13" s="25" t="str">
        <x:v>欧洲及其他</x:v>
      </x:c>
      <x:c r="C13" s="29" t="n">
        <x:v>872.819</x:v>
      </x:c>
      <x:c r="D13" s="29" t="n">
        <x:v>504.964</x:v>
      </x:c>
      <x:c r="E13" s="29" t="n">
        <x:v>73.336</x:v>
      </x:c>
      <x:c r="F13" s="29" t="n">
        <x:v>1451.119</x:v>
      </x:c>
      <x:c r="G13" s="31" t="n">
        <x:v>4.479</x:v>
      </x:c>
      <x:c r="H13" s="18" t="n">
        <x:v>8.155</x:v>
      </x:c>
    </x:row>
    <x:row r="14">
      <x:c r="A14" s="8" t="n">
        <x:v>2025</x:v>
      </x:c>
      <x:c r="B14" s="25" t="str">
        <x:v>海外合计</x:v>
      </x:c>
      <x:c r="C14" s="29" t="n">
        <x:v>7522.41</x:v>
      </x:c>
      <x:c r="D14" s="29" t="n">
        <x:v>7911.508</x:v>
      </x:c>
      <x:c r="E14" s="29" t="n">
        <x:v>834.417</x:v>
      </x:c>
      <x:c r="F14" s="29" t="n">
        <x:v>16268.335</x:v>
      </x:c>
      <x:c r="G14" s="31" t="n">
        <x:v>2.349</x:v>
      </x:c>
      <x:c r="H14" s="18" t="n">
        <x:v>4.687</x:v>
      </x:c>
    </x:row>
    <x:row r="15">
      <x:c r="A15" s="8" t="str">
        <x:v>2025H1</x:v>
      </x:c>
      <x:c r="B15" s="25" t="str">
        <x:v>PRC</x:v>
      </x:c>
      <x:c r="C15" s="29" t="n">
        <x:v>5084.246</x:v>
      </x:c>
      <x:c r="D15" s="29" t="n">
        <x:v>2937.255</x:v>
      </x:c>
      <x:c r="E15" s="29" t="n">
        <x:v>261.311</x:v>
      </x:c>
      <x:c r="F15" s="29" t="n">
        <x:v>8282.812</x:v>
      </x:c>
      <x:c r="G15" s="31"/>
      <x:c r="H15" s="18"/>
    </x:row>
    <x:row r="16">
      <x:c r="A16" s="8" t="str">
        <x:v>2025H1</x:v>
      </x:c>
      <x:c r="B16" s="25" t="str">
        <x:v>亚太</x:v>
      </x:c>
      <x:c r="C16" s="29" t="n">
        <x:v>1525.588</x:v>
      </x:c>
      <x:c r="D16" s="29" t="n">
        <x:v>1069.214</x:v>
      </x:c>
      <x:c r="E16" s="29" t="n">
        <x:v>256.1</x:v>
      </x:c>
      <x:c r="F16" s="29" t="n">
        <x:v>2850.902</x:v>
      </x:c>
      <x:c r="G16" s="31"/>
      <x:c r="H16" s="18"/>
    </x:row>
    <x:row r="17">
      <x:c r="A17" s="8" t="str">
        <x:v>2025H1</x:v>
      </x:c>
      <x:c r="B17" s="25" t="str">
        <x:v>美洲</x:v>
      </x:c>
      <x:c r="C17" s="29" t="n">
        <x:v>842.39</x:v>
      </x:c>
      <x:c r="D17" s="29" t="n">
        <x:v>1326.565</x:v>
      </x:c>
      <x:c r="E17" s="29" t="n">
        <x:v>95.927</x:v>
      </x:c>
      <x:c r="F17" s="29" t="n">
        <x:v>2264.882</x:v>
      </x:c>
      <x:c r="G17" s="31"/>
      <x:c r="H17" s="18"/>
    </x:row>
    <x:row r="18">
      <x:c r="A18" s="8" t="str">
        <x:v>2025H1</x:v>
      </x:c>
      <x:c r="B18" s="25" t="str">
        <x:v>欧洲及其他</x:v>
      </x:c>
      <x:c r="C18" s="29" t="n">
        <x:v>276.527</x:v>
      </x:c>
      <x:c r="D18" s="29" t="n">
        <x:v>164.963</x:v>
      </x:c>
      <x:c r="E18" s="29" t="n">
        <x:v>36.19</x:v>
      </x:c>
      <x:c r="F18" s="29" t="n">
        <x:v>477.68</x:v>
      </x:c>
      <x:c r="G18" s="31"/>
      <x:c r="H18" s="18"/>
    </x:row>
    <x:row r="19">
      <x:c r="A19" s="8" t="str">
        <x:v>2025H1</x:v>
      </x:c>
      <x:c r="B19" s="25" t="str">
        <x:v>海外合计</x:v>
      </x:c>
      <x:c r="C19" s="29" t="n">
        <x:v>2644.505</x:v>
      </x:c>
      <x:c r="D19" s="29" t="n">
        <x:v>2560.742</x:v>
      </x:c>
      <x:c r="E19" s="29" t="n">
        <x:v>388.217</x:v>
      </x:c>
      <x:c r="F19" s="29" t="n">
        <x:v>5593.464</x:v>
      </x:c>
      <x:c r="G19" s="31"/>
      <x:c r="H19" s="18"/>
    </x:row>
    <x:row r="20">
      <x:c r="A20" s="8" t="str">
        <x:v>2026H1</x:v>
      </x:c>
      <x:c r="B20" s="25" t="str">
        <x:v>PRC</x:v>
      </x:c>
      <x:c r="C20" s="29" t="n">
        <x:v>6868.639</x:v>
      </x:c>
      <x:c r="D20" s="29" t="n">
        <x:v>4778.746</x:v>
      </x:c>
      <x:c r="E20" s="29" t="n">
        <x:v>553.124</x:v>
      </x:c>
      <x:c r="F20" s="29" t="n">
        <x:v>12200.509</x:v>
      </x:c>
      <x:c r="G20" s="31" t="n">
        <x:v>0.351</x:v>
      </x:c>
      <x:c r="H20" s="18" t="n">
        <x:v>0.627</x:v>
      </x:c>
    </x:row>
    <x:row r="21">
      <x:c r="A21" s="52" t="str">
        <x:v>2026H1</x:v>
      </x:c>
      <x:c r="B21" s="53" t="str">
        <x:v>亚太</x:v>
      </x:c>
      <x:c r="C21" s="54" t="n">
        <x:v>1772.694</x:v>
      </x:c>
      <x:c r="D21" s="54" t="n">
        <x:v>643.551</x:v>
      </x:c>
      <x:c r="E21" s="54" t="n">
        <x:v>158.8</x:v>
      </x:c>
      <x:c r="F21" s="54" t="n">
        <x:v>2575.045</x:v>
      </x:c>
      <x:c r="G21" s="55" t="n">
        <x:v>0.162</x:v>
      </x:c>
      <x:c r="H21" s="56" t="n">
        <x:v>-0.398</x:v>
      </x:c>
    </x:row>
    <x:row r="22">
      <x:c r="A22" s="52" t="str">
        <x:v>2026H1</x:v>
      </x:c>
      <x:c r="B22" s="53" t="str">
        <x:v>美洲</x:v>
      </x:c>
      <x:c r="C22" s="54" t="n">
        <x:v>1007.007</x:v>
      </x:c>
      <x:c r="D22" s="54" t="n">
        <x:v>722.144</x:v>
      </x:c>
      <x:c r="E22" s="54" t="n">
        <x:v>162.486</x:v>
      </x:c>
      <x:c r="F22" s="54" t="n">
        <x:v>1891.637</x:v>
      </x:c>
      <x:c r="G22" s="55" t="n">
        <x:v>0.195</x:v>
      </x:c>
      <x:c r="H22" s="56" t="n">
        <x:v>-0.456</x:v>
      </x:c>
    </x:row>
    <x:row r="23">
      <x:c r="A23" s="52" t="str">
        <x:v>2026H1</x:v>
      </x:c>
      <x:c r="B23" s="53" t="str">
        <x:v>欧洲及其他</x:v>
      </x:c>
      <x:c r="C23" s="54" t="n">
        <x:v>414.172</x:v>
      </x:c>
      <x:c r="D23" s="54" t="n">
        <x:v>67.631</x:v>
      </x:c>
      <x:c r="E23" s="54" t="n">
        <x:v>23.927</x:v>
      </x:c>
      <x:c r="F23" s="54" t="n">
        <x:v>505.73</x:v>
      </x:c>
      <x:c r="G23" s="55" t="n">
        <x:v>0.498</x:v>
      </x:c>
      <x:c r="H23" s="56" t="n">
        <x:v>-0.59</x:v>
      </x:c>
    </x:row>
    <x:row r="24">
      <x:c r="A24" s="57" t="str">
        <x:v>2026H1</x:v>
      </x:c>
      <x:c r="B24" s="58" t="str">
        <x:v>海外合计</x:v>
      </x:c>
      <x:c r="C24" s="59" t="n">
        <x:v>3193.873</x:v>
      </x:c>
      <x:c r="D24" s="59" t="n">
        <x:v>1433.326</x:v>
      </x:c>
      <x:c r="E24" s="59" t="n">
        <x:v>345.213</x:v>
      </x:c>
      <x:c r="F24" s="59" t="n">
        <x:v>4972.412</x:v>
      </x:c>
      <x:c r="G24" s="60" t="n">
        <x:v>0.208</x:v>
      </x:c>
      <x:c r="H24" s="61" t="n">
        <x:v>-0.44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4" hidden="0" customWidth="1"/>
    <x:col min="5" max="5" width="16" hidden="0" customWidth="1"/>
    <x:col min="6" max="6" width="12" hidden="0" customWidth="1"/>
    <x:col min="7" max="7" width="12" hidden="0" customWidth="1"/>
    <x:col min="8" max="8" width="28" hidden="0" customWidth="1"/>
  </x:cols>
  <x:sheetData>
    <x:row r="1" ht="30" customHeight="1">
      <x:c r="A1" s="2" t="str">
        <x:v>线上渠道细分</x:v>
      </x:c>
    </x:row>
    <x:row r="2" ht="30" customHeight="1">
      <x:c r="A2" s="5" t="str">
        <x:v>平台名称和地区口径随年份变化；未单独披露的平台保留在“其他”。收入单位：人民币百万元。</x:v>
      </x:c>
    </x:row>
    <x:row r="4" ht="28" customHeight="1">
      <x:c r="A4" s="17" t="str">
        <x:v>期间</x:v>
      </x:c>
      <x:c r="B4" s="17" t="str">
        <x:v>地区</x:v>
      </x:c>
      <x:c r="C4" s="17" t="str">
        <x:v>平台</x:v>
      </x:c>
      <x:c r="D4" s="17" t="str">
        <x:v>收入</x:v>
      </x:c>
      <x:c r="E4" s="17" t="str">
        <x:v>占该地区线上</x:v>
      </x:c>
      <x:c r="F4" s="17" t="str">
        <x:v>同比</x:v>
      </x:c>
      <x:c r="G4" s="17" t="str">
        <x:v>来源ID</x:v>
      </x:c>
      <x:c r="H4" s="17" t="str">
        <x:v>备注</x:v>
      </x:c>
    </x:row>
    <x:row r="5">
      <x:c r="A5" s="8" t="n">
        <x:v>2020</x:v>
      </x:c>
      <x:c r="B5" s="25" t="str">
        <x:v>中国大陆</x:v>
      </x:c>
      <x:c r="C5" s="25" t="str">
        <x:v>抽盒机</x:v>
      </x:c>
      <x:c r="D5" s="29" t="n">
        <x:v>466.364</x:v>
      </x:c>
      <x:c r="E5" s="31" t="n">
        <x:v>0.48994248194353246</x:v>
      </x:c>
      <x:c r="F5" s="31"/>
      <x:c r="G5" s="25" t="str">
        <x:v>AR2021</x:v>
      </x:c>
      <x:c r="H5" s="9" t="str">
        <x:v>2021年报比较数</x:v>
      </x:c>
    </x:row>
    <x:row r="6">
      <x:c r="A6" s="8" t="n">
        <x:v>2020</x:v>
      </x:c>
      <x:c r="B6" s="25" t="str">
        <x:v>中国大陆</x:v>
      </x:c>
      <x:c r="C6" s="25" t="str">
        <x:v>天猫</x:v>
      </x:c>
      <x:c r="D6" s="29" t="n">
        <x:v>406.11</x:v>
      </x:c>
      <x:c r="E6" s="31" t="n">
        <x:v>0.42664215364412345</x:v>
      </x:c>
      <x:c r="F6" s="31"/>
      <x:c r="G6" s="25" t="str">
        <x:v>AR2021</x:v>
      </x:c>
      <x:c r="H6" s="9" t="str"/>
    </x:row>
    <x:row r="7">
      <x:c r="A7" s="8" t="n">
        <x:v>2020</x:v>
      </x:c>
      <x:c r="B7" s="25" t="str">
        <x:v>中国大陆</x:v>
      </x:c>
      <x:c r="C7" s="25" t="str">
        <x:v>京东</x:v>
      </x:c>
      <x:c r="D7" s="29" t="n">
        <x:v>36.173</x:v>
      </x:c>
      <x:c r="E7" s="31" t="n">
        <x:v>0.038001838476690745</x:v>
      </x:c>
      <x:c r="F7" s="31"/>
      <x:c r="G7" s="25" t="str">
        <x:v>AR2021</x:v>
      </x:c>
      <x:c r="H7" s="9" t="str"/>
    </x:row>
    <x:row r="8">
      <x:c r="A8" s="8" t="n">
        <x:v>2020</x:v>
      </x:c>
      <x:c r="B8" s="25" t="str">
        <x:v>中国大陆</x:v>
      </x:c>
      <x:c r="C8" s="25" t="str">
        <x:v>其他</x:v>
      </x:c>
      <x:c r="D8" s="29" t="n">
        <x:v>43.228</x:v>
      </x:c>
      <x:c r="E8" s="31" t="n">
        <x:v>0.045413525935653315</x:v>
      </x:c>
      <x:c r="F8" s="31"/>
      <x:c r="G8" s="25" t="str">
        <x:v>AR2021</x:v>
      </x:c>
      <x:c r="H8" s="9" t="str"/>
    </x:row>
    <x:row r="9">
      <x:c r="A9" s="8" t="n">
        <x:v>2021</x:v>
      </x:c>
      <x:c r="B9" s="25" t="str">
        <x:v>中国大陆</x:v>
      </x:c>
      <x:c r="C9" s="25" t="str">
        <x:v>抽盒机</x:v>
      </x:c>
      <x:c r="D9" s="29" t="n">
        <x:v>921.469</x:v>
      </x:c>
      <x:c r="E9" s="31" t="n">
        <x:v>0.49501875655055677</x:v>
      </x:c>
      <x:c r="F9" s="31" t="n">
        <x:v>0.976</x:v>
      </x:c>
      <x:c r="G9" s="25" t="str">
        <x:v>AR2022</x:v>
      </x:c>
      <x:c r="H9" s="9" t="str">
        <x:v>重分类比较数</x:v>
      </x:c>
    </x:row>
    <x:row r="10">
      <x:c r="A10" s="8" t="n">
        <x:v>2021</x:v>
      </x:c>
      <x:c r="B10" s="25" t="str">
        <x:v>中国大陆</x:v>
      </x:c>
      <x:c r="C10" s="25" t="str">
        <x:v>天猫</x:v>
      </x:c>
      <x:c r="D10" s="29" t="n">
        <x:v>598.865</x:v>
      </x:c>
      <x:c r="E10" s="31" t="n">
        <x:v>0.32171392379087</x:v>
      </x:c>
      <x:c r="F10" s="31" t="n">
        <x:v>0.475</x:v>
      </x:c>
      <x:c r="G10" s="25" t="str">
        <x:v>AR2022</x:v>
      </x:c>
      <x:c r="H10" s="9" t="str"/>
    </x:row>
    <x:row r="11">
      <x:c r="A11" s="8" t="n">
        <x:v>2021</x:v>
      </x:c>
      <x:c r="B11" s="25" t="str">
        <x:v>中国大陆</x:v>
      </x:c>
      <x:c r="C11" s="25" t="str">
        <x:v>京东</x:v>
      </x:c>
      <x:c r="D11" s="29" t="n">
        <x:v>143.229</x:v>
      </x:c>
      <x:c r="E11" s="31" t="n">
        <x:v>0.07694349075441463</x:v>
      </x:c>
      <x:c r="F11" s="31" t="n">
        <x:v>2.96</x:v>
      </x:c>
      <x:c r="G11" s="25" t="str">
        <x:v>AR2022</x:v>
      </x:c>
      <x:c r="H11" s="9" t="str"/>
    </x:row>
    <x:row r="12">
      <x:c r="A12" s="8" t="n">
        <x:v>2021</x:v>
      </x:c>
      <x:c r="B12" s="25" t="str">
        <x:v>中国大陆</x:v>
      </x:c>
      <x:c r="C12" s="25" t="str">
        <x:v>其他</x:v>
      </x:c>
      <x:c r="D12" s="29" t="n">
        <x:v>197.92</x:v>
      </x:c>
      <x:c r="E12" s="31" t="n">
        <x:v>0.10632382890415867</x:v>
      </x:c>
      <x:c r="F12" s="31" t="n">
        <x:v>3.578</x:v>
      </x:c>
      <x:c r="G12" s="25" t="str">
        <x:v>AR2022</x:v>
      </x:c>
      <x:c r="H12" s="9" t="str"/>
    </x:row>
    <x:row r="13">
      <x:c r="A13" s="8" t="n">
        <x:v>2021</x:v>
      </x:c>
      <x:c r="B13" s="25" t="str">
        <x:v>港澳台及海外</x:v>
      </x:c>
      <x:c r="C13" s="25" t="str">
        <x:v>官方站/Shopify</x:v>
      </x:c>
      <x:c r="D13" s="29" t="n">
        <x:v>15.167</x:v>
      </x:c>
      <x:c r="E13" s="31" t="n">
        <x:v>0.36847091978038</x:v>
      </x:c>
      <x:c r="F13" s="31"/>
      <x:c r="G13" s="25" t="str">
        <x:v>AR2022</x:v>
      </x:c>
      <x:c r="H13" s="9" t="str"/>
    </x:row>
    <x:row r="14">
      <x:c r="A14" s="8" t="n">
        <x:v>2021</x:v>
      </x:c>
      <x:c r="B14" s="25" t="str">
        <x:v>港澳台及海外</x:v>
      </x:c>
      <x:c r="C14" s="25" t="str">
        <x:v>Amazon</x:v>
      </x:c>
      <x:c r="D14" s="29" t="n">
        <x:v>8.959</x:v>
      </x:c>
      <x:c r="E14" s="31" t="n">
        <x:v>0.21765220348865458</x:v>
      </x:c>
      <x:c r="F14" s="31"/>
      <x:c r="G14" s="25" t="str">
        <x:v>AR2022</x:v>
      </x:c>
      <x:c r="H14" s="9" t="str"/>
    </x:row>
    <x:row r="15">
      <x:c r="A15" s="8" t="n">
        <x:v>2021</x:v>
      </x:c>
      <x:c r="B15" s="25" t="str">
        <x:v>港澳台及海外</x:v>
      </x:c>
      <x:c r="C15" s="25" t="str">
        <x:v>其他</x:v>
      </x:c>
      <x:c r="D15" s="29" t="n">
        <x:v>17.036</x:v>
      </x:c>
      <x:c r="E15" s="31" t="n">
        <x:v>0.4138768767309655</x:v>
      </x:c>
      <x:c r="F15" s="31"/>
      <x:c r="G15" s="25" t="str">
        <x:v>AR2022</x:v>
      </x:c>
      <x:c r="H15" s="9" t="str"/>
    </x:row>
    <x:row r="16">
      <x:c r="A16" s="8" t="n">
        <x:v>2022</x:v>
      </x:c>
      <x:c r="B16" s="25" t="str">
        <x:v>中国大陆</x:v>
      </x:c>
      <x:c r="C16" s="25" t="str">
        <x:v>抽盒机</x:v>
      </x:c>
      <x:c r="D16" s="29" t="n">
        <x:v>954.678</x:v>
      </x:c>
      <x:c r="E16" s="31" t="n">
        <x:v>0.5217364216702399</x:v>
      </x:c>
      <x:c r="F16" s="31" t="n">
        <x:v>0.036</x:v>
      </x:c>
      <x:c r="G16" s="25" t="str">
        <x:v>AR2022</x:v>
      </x:c>
      <x:c r="H16" s="9" t="str"/>
    </x:row>
    <x:row r="17">
      <x:c r="A17" s="8" t="n">
        <x:v>2022</x:v>
      </x:c>
      <x:c r="B17" s="25" t="str">
        <x:v>中国大陆</x:v>
      </x:c>
      <x:c r="C17" s="25" t="str">
        <x:v>天猫</x:v>
      </x:c>
      <x:c r="D17" s="29" t="n">
        <x:v>462.394</x:v>
      </x:c>
      <x:c r="E17" s="31" t="n">
        <x:v>0.2527006917115393</x:v>
      </x:c>
      <x:c r="F17" s="31" t="n">
        <x:v>-0.228</x:v>
      </x:c>
      <x:c r="G17" s="25" t="str">
        <x:v>AR2022</x:v>
      </x:c>
      <x:c r="H17" s="9" t="str"/>
    </x:row>
    <x:row r="18">
      <x:c r="A18" s="8" t="n">
        <x:v>2022</x:v>
      </x:c>
      <x:c r="B18" s="25" t="str">
        <x:v>中国大陆</x:v>
      </x:c>
      <x:c r="C18" s="25" t="str">
        <x:v>京东</x:v>
      </x:c>
      <x:c r="D18" s="29" t="n">
        <x:v>137.885</x:v>
      </x:c>
      <x:c r="E18" s="31" t="n">
        <x:v>0.07535485944161385</x:v>
      </x:c>
      <x:c r="F18" s="31" t="n">
        <x:v>-0.037</x:v>
      </x:c>
      <x:c r="G18" s="25" t="str">
        <x:v>AR2022</x:v>
      </x:c>
      <x:c r="H18" s="9" t="str"/>
    </x:row>
    <x:row r="19">
      <x:c r="A19" s="8" t="n">
        <x:v>2022</x:v>
      </x:c>
      <x:c r="B19" s="25" t="str">
        <x:v>中国大陆</x:v>
      </x:c>
      <x:c r="C19" s="25" t="str">
        <x:v>其他</x:v>
      </x:c>
      <x:c r="D19" s="29" t="n">
        <x:v>274.852</x:v>
      </x:c>
      <x:c r="E19" s="31" t="n">
        <x:v>0.15020802717660695</x:v>
      </x:c>
      <x:c r="F19" s="31" t="n">
        <x:v>0.389</x:v>
      </x:c>
      <x:c r="G19" s="25" t="str">
        <x:v>AR2022</x:v>
      </x:c>
      <x:c r="H19" s="9" t="str"/>
    </x:row>
    <x:row r="20">
      <x:c r="A20" s="8" t="n">
        <x:v>2022</x:v>
      </x:c>
      <x:c r="B20" s="25" t="str">
        <x:v>港澳台及海外</x:v>
      </x:c>
      <x:c r="C20" s="25" t="str">
        <x:v>官方站/Shopify</x:v>
      </x:c>
      <x:c r="D20" s="29" t="n">
        <x:v>27.061</x:v>
      </x:c>
      <x:c r="E20" s="31" t="n">
        <x:v>0.2999312821422238</x:v>
      </x:c>
      <x:c r="F20" s="31" t="n">
        <x:v>0.784</x:v>
      </x:c>
      <x:c r="G20" s="25" t="str">
        <x:v>AR2022</x:v>
      </x:c>
      <x:c r="H20" s="9" t="str"/>
    </x:row>
    <x:row r="21">
      <x:c r="A21" s="8" t="n">
        <x:v>2022</x:v>
      </x:c>
      <x:c r="B21" s="25" t="str">
        <x:v>港澳台及海外</x:v>
      </x:c>
      <x:c r="C21" s="25" t="str">
        <x:v>Amazon</x:v>
      </x:c>
      <x:c r="D21" s="29" t="n">
        <x:v>23.643</x:v>
      </x:c>
      <x:c r="E21" s="31" t="n">
        <x:v>0.2620477921617308</x:v>
      </x:c>
      <x:c r="F21" s="31" t="n">
        <x:v>1.639</x:v>
      </x:c>
      <x:c r="G21" s="25" t="str">
        <x:v>AR2022</x:v>
      </x:c>
      <x:c r="H21" s="9" t="str"/>
    </x:row>
    <x:row r="22">
      <x:c r="A22" s="8" t="n">
        <x:v>2022</x:v>
      </x:c>
      <x:c r="B22" s="25" t="str">
        <x:v>港澳台及海外</x:v>
      </x:c>
      <x:c r="C22" s="25" t="str">
        <x:v>其他</x:v>
      </x:c>
      <x:c r="D22" s="29" t="n">
        <x:v>39.52</x:v>
      </x:c>
      <x:c r="E22" s="31" t="n">
        <x:v>0.4380209256960454</x:v>
      </x:c>
      <x:c r="F22" s="31" t="n">
        <x:v>1.32</x:v>
      </x:c>
      <x:c r="G22" s="25" t="str">
        <x:v>AR2022</x:v>
      </x:c>
      <x:c r="H22" s="9" t="str"/>
    </x:row>
    <x:row r="23">
      <x:c r="A23" s="8" t="n">
        <x:v>2023</x:v>
      </x:c>
      <x:c r="B23" s="25" t="str">
        <x:v>中国大陆</x:v>
      </x:c>
      <x:c r="C23" s="25" t="str">
        <x:v>抽盒机</x:v>
      </x:c>
      <x:c r="D23" s="29" t="n">
        <x:v>729.28</x:v>
      </x:c>
      <x:c r="E23" s="31" t="n">
        <x:v>0.4263625941189229</x:v>
      </x:c>
      <x:c r="F23" s="31" t="n">
        <x:v>-0.236</x:v>
      </x:c>
      <x:c r="G23" s="25" t="str">
        <x:v>AR2023</x:v>
      </x:c>
      <x:c r="H23" s="9" t="str"/>
    </x:row>
    <x:row r="24">
      <x:c r="A24" s="8" t="n">
        <x:v>2023</x:v>
      </x:c>
      <x:c r="B24" s="25" t="str">
        <x:v>中国大陆</x:v>
      </x:c>
      <x:c r="C24" s="25" t="str">
        <x:v>天猫</x:v>
      </x:c>
      <x:c r="D24" s="29" t="n">
        <x:v>321.966</x:v>
      </x:c>
      <x:c r="E24" s="31" t="n">
        <x:v>0.1882325841625893</x:v>
      </x:c>
      <x:c r="F24" s="31" t="n">
        <x:v>-0.304</x:v>
      </x:c>
      <x:c r="G24" s="25" t="str">
        <x:v>AR2023</x:v>
      </x:c>
      <x:c r="H24" s="9" t="str"/>
    </x:row>
    <x:row r="25">
      <x:c r="A25" s="8" t="n">
        <x:v>2023</x:v>
      </x:c>
      <x:c r="B25" s="25" t="str">
        <x:v>中国大陆</x:v>
      </x:c>
      <x:c r="C25" s="25" t="str">
        <x:v>抖音</x:v>
      </x:c>
      <x:c r="D25" s="29" t="n">
        <x:v>283.318</x:v>
      </x:c>
      <x:c r="E25" s="31" t="n">
        <x:v>0.16563761167258803</x:v>
      </x:c>
      <x:c r="F25" s="31" t="n">
        <x:v>4.312</x:v>
      </x:c>
      <x:c r="G25" s="25" t="str">
        <x:v>AR2023</x:v>
      </x:c>
      <x:c r="H25" s="9" t="str"/>
    </x:row>
    <x:row r="26">
      <x:c r="A26" s="8" t="n">
        <x:v>2023</x:v>
      </x:c>
      <x:c r="B26" s="25" t="str">
        <x:v>中国大陆</x:v>
      </x:c>
      <x:c r="C26" s="25" t="str">
        <x:v>其他</x:v>
      </x:c>
      <x:c r="D26" s="29" t="n">
        <x:v>375.905</x:v>
      </x:c>
      <x:c r="E26" s="31" t="n">
        <x:v>0.21976721004589966</x:v>
      </x:c>
      <x:c r="F26" s="31" t="n">
        <x:v>0.046</x:v>
      </x:c>
      <x:c r="G26" s="25" t="str">
        <x:v>AR2023</x:v>
      </x:c>
      <x:c r="H26" s="9" t="str"/>
    </x:row>
    <x:row r="27">
      <x:c r="A27" s="8" t="n">
        <x:v>2023</x:v>
      </x:c>
      <x:c r="B27" s="25" t="str">
        <x:v>港澳台及海外</x:v>
      </x:c>
      <x:c r="C27" s="25" t="str">
        <x:v>官方站</x:v>
      </x:c>
      <x:c r="D27" s="29" t="n">
        <x:v>39.479</x:v>
      </x:c>
      <x:c r="E27" s="31" t="n">
        <x:v>0.2533872468791117</x:v>
      </x:c>
      <x:c r="F27" s="31" t="n">
        <x:v>0.459</x:v>
      </x:c>
      <x:c r="G27" s="25" t="str">
        <x:v>AR2024</x:v>
      </x:c>
      <x:c r="H27" s="9" t="str"/>
    </x:row>
    <x:row r="28">
      <x:c r="A28" s="8" t="n">
        <x:v>2023</x:v>
      </x:c>
      <x:c r="B28" s="25" t="str">
        <x:v>港澳台及海外</x:v>
      </x:c>
      <x:c r="C28" s="25" t="str">
        <x:v>Shopee</x:v>
      </x:c>
      <x:c r="D28" s="29" t="n">
        <x:v>42.885</x:v>
      </x:c>
      <x:c r="E28" s="31" t="n">
        <x:v>0.2752479060363916</x:v>
      </x:c>
      <x:c r="F28" s="31" t="n">
        <x:v>0.703</x:v>
      </x:c>
      <x:c r="G28" s="25" t="str">
        <x:v>AR2024</x:v>
      </x:c>
      <x:c r="H28" s="9" t="str"/>
    </x:row>
    <x:row r="29">
      <x:c r="A29" s="8" t="n">
        <x:v>2023</x:v>
      </x:c>
      <x:c r="B29" s="25" t="str">
        <x:v>港澳台及海外</x:v>
      </x:c>
      <x:c r="C29" s="25" t="str">
        <x:v>TikTok</x:v>
      </x:c>
      <x:c r="D29" s="29" t="n">
        <x:v>4.455</x:v>
      </x:c>
      <x:c r="E29" s="31" t="n">
        <x:v>0.028593434100317703</x:v>
      </x:c>
      <x:c r="F29" s="31"/>
      <x:c r="G29" s="25" t="str">
        <x:v>AR2024</x:v>
      </x:c>
      <x:c r="H29" s="9" t="str"/>
    </x:row>
    <x:row r="30">
      <x:c r="A30" s="8" t="n">
        <x:v>2023</x:v>
      </x:c>
      <x:c r="B30" s="25" t="str">
        <x:v>港澳台及海外</x:v>
      </x:c>
      <x:c r="C30" s="25" t="str">
        <x:v>其他</x:v>
      </x:c>
      <x:c r="D30" s="29" t="n">
        <x:v>68.986</x:v>
      </x:c>
      <x:c r="E30" s="31" t="n">
        <x:v>0.44277141298417894</x:v>
      </x:c>
      <x:c r="F30" s="31"/>
      <x:c r="G30" s="25" t="str">
        <x:v>AR2024</x:v>
      </x:c>
      <x:c r="H30" s="9" t="str"/>
    </x:row>
    <x:row r="31">
      <x:c r="A31" s="8" t="n">
        <x:v>2024</x:v>
      </x:c>
      <x:c r="B31" s="25" t="str">
        <x:v>中国大陆</x:v>
      </x:c>
      <x:c r="C31" s="25" t="str">
        <x:v>抽盒机</x:v>
      </x:c>
      <x:c r="D31" s="29" t="n">
        <x:v>1113.741</x:v>
      </x:c>
      <x:c r="E31" s="31" t="n">
        <x:v>0.4128607486824492</x:v>
      </x:c>
      <x:c r="F31" s="31" t="n">
        <x:v>0.527</x:v>
      </x:c>
      <x:c r="G31" s="25" t="str">
        <x:v>AR2024</x:v>
      </x:c>
      <x:c r="H31" s="9" t="str"/>
    </x:row>
    <x:row r="32">
      <x:c r="A32" s="8" t="n">
        <x:v>2024</x:v>
      </x:c>
      <x:c r="B32" s="25" t="str">
        <x:v>中国大陆</x:v>
      </x:c>
      <x:c r="C32" s="25" t="str">
        <x:v>天猫</x:v>
      </x:c>
      <x:c r="D32" s="29" t="n">
        <x:v>627.788</x:v>
      </x:c>
      <x:c r="E32" s="31" t="n">
        <x:v>0.2327192980179929</x:v>
      </x:c>
      <x:c r="F32" s="31" t="n">
        <x:v>0.95</x:v>
      </x:c>
      <x:c r="G32" s="25" t="str">
        <x:v>AR2024</x:v>
      </x:c>
      <x:c r="H32" s="9" t="str"/>
    </x:row>
    <x:row r="33">
      <x:c r="A33" s="8" t="n">
        <x:v>2024</x:v>
      </x:c>
      <x:c r="B33" s="25" t="str">
        <x:v>中国大陆</x:v>
      </x:c>
      <x:c r="C33" s="25" t="str">
        <x:v>抖音</x:v>
      </x:c>
      <x:c r="D33" s="29" t="n">
        <x:v>601.231</x:v>
      </x:c>
      <x:c r="E33" s="31" t="n">
        <x:v>0.22287469060679063</x:v>
      </x:c>
      <x:c r="F33" s="31" t="n">
        <x:v>1.122</x:v>
      </x:c>
      <x:c r="G33" s="25" t="str">
        <x:v>AR2024</x:v>
      </x:c>
      <x:c r="H33" s="9" t="str"/>
    </x:row>
    <x:row r="34">
      <x:c r="A34" s="8" t="n">
        <x:v>2024</x:v>
      </x:c>
      <x:c r="B34" s="25" t="str">
        <x:v>中国大陆</x:v>
      </x:c>
      <x:c r="C34" s="25" t="str">
        <x:v>其他</x:v>
      </x:c>
      <x:c r="D34" s="29" t="n">
        <x:v>354.859</x:v>
      </x:c>
      <x:c r="E34" s="31" t="n">
        <x:v>0.1315452626927672</x:v>
      </x:c>
      <x:c r="F34" s="31" t="n">
        <x:v>0.868</x:v>
      </x:c>
      <x:c r="G34" s="25" t="str">
        <x:v>AR2024</x:v>
      </x:c>
      <x:c r="H34" s="9" t="str"/>
    </x:row>
    <x:row r="35">
      <x:c r="A35" s="8" t="n">
        <x:v>2024</x:v>
      </x:c>
      <x:c r="B35" s="25" t="str">
        <x:v>港澳台及海外</x:v>
      </x:c>
      <x:c r="C35" s="25" t="str">
        <x:v>官方站</x:v>
      </x:c>
      <x:c r="D35" s="29" t="n">
        <x:v>531.46</x:v>
      </x:c>
      <x:c r="E35" s="31" t="n">
        <x:v>0.3652239407021349</x:v>
      </x:c>
      <x:c r="F35" s="31" t="n">
        <x:v>12.462</x:v>
      </x:c>
      <x:c r="G35" s="25" t="str">
        <x:v>AR2024</x:v>
      </x:c>
      <x:c r="H35" s="9" t="str"/>
    </x:row>
    <x:row r="36">
      <x:c r="A36" s="8" t="n">
        <x:v>2024</x:v>
      </x:c>
      <x:c r="B36" s="25" t="str">
        <x:v>港澳台及海外</x:v>
      </x:c>
      <x:c r="C36" s="25" t="str">
        <x:v>Shopee</x:v>
      </x:c>
      <x:c r="D36" s="29" t="n">
        <x:v>324.197</x:v>
      </x:c>
      <x:c r="E36" s="31" t="n">
        <x:v>0.2227910019640425</x:v>
      </x:c>
      <x:c r="F36" s="31" t="n">
        <x:v>6.56</x:v>
      </x:c>
      <x:c r="G36" s="25" t="str">
        <x:v>AR2024</x:v>
      </x:c>
      <x:c r="H36" s="9" t="str"/>
    </x:row>
    <x:row r="37">
      <x:c r="A37" s="8" t="n">
        <x:v>2024</x:v>
      </x:c>
      <x:c r="B37" s="25" t="str">
        <x:v>港澳台及海外</x:v>
      </x:c>
      <x:c r="C37" s="25" t="str">
        <x:v>TikTok</x:v>
      </x:c>
      <x:c r="D37" s="29" t="n">
        <x:v>261.943</x:v>
      </x:c>
      <x:c r="E37" s="31" t="n">
        <x:v>0.1800095109685382</x:v>
      </x:c>
      <x:c r="F37" s="31" t="n">
        <x:v>57.798</x:v>
      </x:c>
      <x:c r="G37" s="25" t="str">
        <x:v>AR2024</x:v>
      </x:c>
      <x:c r="H37" s="9" t="str"/>
    </x:row>
    <x:row r="38">
      <x:c r="A38" s="8" t="n">
        <x:v>2024</x:v>
      </x:c>
      <x:c r="B38" s="25" t="str">
        <x:v>港澳台及海外</x:v>
      </x:c>
      <x:c r="C38" s="25" t="str">
        <x:v>其他</x:v>
      </x:c>
      <x:c r="D38" s="29" t="n">
        <x:v>337.562</x:v>
      </x:c>
      <x:c r="E38" s="31" t="n">
        <x:v>0.23197554636528442</x:v>
      </x:c>
      <x:c r="F38" s="31" t="n">
        <x:v>3.893</x:v>
      </x:c>
      <x:c r="G38" s="25" t="str">
        <x:v>AR2024</x:v>
      </x:c>
      <x:c r="H38" s="9" t="str"/>
    </x:row>
    <x:row r="39">
      <x:c r="A39" s="8" t="n">
        <x:v>2025</x:v>
      </x:c>
      <x:c r="B39" s="25" t="str">
        <x:v>PRC</x:v>
      </x:c>
      <x:c r="C39" s="25" t="str">
        <x:v>抽盒机</x:v>
      </x:c>
      <x:c r="D39" s="29" t="n">
        <x:v>3423.456</x:v>
      </x:c>
      <x:c r="E39" s="31" t="n">
        <x:v>0.4017046529930051</x:v>
      </x:c>
      <x:c r="F39" s="31" t="n">
        <x:v>2.074</x:v>
      </x:c>
      <x:c r="G39" s="25" t="str">
        <x:v>AR2025</x:v>
      </x:c>
      <x:c r="H39" s="9" t="str"/>
    </x:row>
    <x:row r="40">
      <x:c r="A40" s="8" t="n">
        <x:v>2025</x:v>
      </x:c>
      <x:c r="B40" s="25" t="str">
        <x:v>PRC</x:v>
      </x:c>
      <x:c r="C40" s="25" t="str">
        <x:v>天猫</x:v>
      </x:c>
      <x:c r="D40" s="29" t="n">
        <x:v>1785.332</x:v>
      </x:c>
      <x:c r="E40" s="31" t="n">
        <x:v>0.20948894086481842</x:v>
      </x:c>
      <x:c r="F40" s="31" t="n">
        <x:v>1.844</x:v>
      </x:c>
      <x:c r="G40" s="25" t="str">
        <x:v>AR2025</x:v>
      </x:c>
      <x:c r="H40" s="9" t="str"/>
    </x:row>
    <x:row r="41">
      <x:c r="A41" s="8" t="n">
        <x:v>2025</x:v>
      </x:c>
      <x:c r="B41" s="25" t="str">
        <x:v>PRC</x:v>
      </x:c>
      <x:c r="C41" s="25" t="str">
        <x:v>抖音</x:v>
      </x:c>
      <x:c r="D41" s="29" t="n">
        <x:v>1589.842</x:v>
      </x:c>
      <x:c r="E41" s="31" t="n">
        <x:v>0.1865503540643447</x:v>
      </x:c>
      <x:c r="F41" s="31" t="n">
        <x:v>1.644</x:v>
      </x:c>
      <x:c r="G41" s="25" t="str">
        <x:v>AR2025</x:v>
      </x:c>
      <x:c r="H41" s="9" t="str"/>
    </x:row>
    <x:row r="42">
      <x:c r="A42" s="8" t="n">
        <x:v>2025</x:v>
      </x:c>
      <x:c r="B42" s="25" t="str">
        <x:v>PRC</x:v>
      </x:c>
      <x:c r="C42" s="25" t="str">
        <x:v>其他</x:v>
      </x:c>
      <x:c r="D42" s="29" t="n">
        <x:v>1723.691</x:v>
      </x:c>
      <x:c r="E42" s="31" t="n">
        <x:v>0.20225605207783184</x:v>
      </x:c>
      <x:c r="F42" s="31" t="n">
        <x:v>3.016</x:v>
      </x:c>
      <x:c r="G42" s="25" t="str">
        <x:v>AR2025</x:v>
      </x:c>
      <x:c r="H42" s="9" t="str"/>
    </x:row>
    <x:row r="43">
      <x:c r="A43" s="8" t="n">
        <x:v>2025</x:v>
      </x:c>
      <x:c r="B43" s="25" t="str">
        <x:v>亚太</x:v>
      </x:c>
      <x:c r="C43" s="25" t="str">
        <x:v>自研APP及官方站</x:v>
      </x:c>
      <x:c r="D43" s="29" t="n">
        <x:v>1458.282</x:v>
      </x:c>
      <x:c r="E43" s="31" t="n">
        <x:v>0.4776612097821034</x:v>
      </x:c>
      <x:c r="F43" s="31" t="n">
        <x:v>2.786</x:v>
      </x:c>
      <x:c r="G43" s="25" t="str">
        <x:v>AR2025</x:v>
      </x:c>
      <x:c r="H43" s="9" t="str"/>
    </x:row>
    <x:row r="44">
      <x:c r="A44" s="8" t="n">
        <x:v>2025</x:v>
      </x:c>
      <x:c r="B44" s="25" t="str">
        <x:v>亚太</x:v>
      </x:c>
      <x:c r="C44" s="25" t="str">
        <x:v>Shopee</x:v>
      </x:c>
      <x:c r="D44" s="29" t="n">
        <x:v>568.675</x:v>
      </x:c>
      <x:c r="E44" s="31" t="n">
        <x:v>0.18626986308055482</x:v>
      </x:c>
      <x:c r="F44" s="31" t="n">
        <x:v>0.999</x:v>
      </x:c>
      <x:c r="G44" s="25" t="str">
        <x:v>AR2025</x:v>
      </x:c>
      <x:c r="H44" s="9" t="str"/>
    </x:row>
    <x:row r="45">
      <x:c r="A45" s="8" t="n">
        <x:v>2025</x:v>
      </x:c>
      <x:c r="B45" s="25" t="str">
        <x:v>亚太</x:v>
      </x:c>
      <x:c r="C45" s="25" t="str">
        <x:v>其他</x:v>
      </x:c>
      <x:c r="D45" s="29" t="n">
        <x:v>1026.006</x:v>
      </x:c>
      <x:c r="E45" s="31" t="n">
        <x:v>0.33606892713734166</x:v>
      </x:c>
      <x:c r="F45" s="31" t="n">
        <x:v>1.683</x:v>
      </x:c>
      <x:c r="G45" s="25" t="str">
        <x:v>AR2025</x:v>
      </x:c>
      <x:c r="H45" s="9" t="str"/>
    </x:row>
    <x:row r="46">
      <x:c r="A46" s="8" t="n">
        <x:v>2025</x:v>
      </x:c>
      <x:c r="B46" s="25" t="str">
        <x:v>美洲</x:v>
      </x:c>
      <x:c r="C46" s="25" t="str">
        <x:v>自研APP及官方站</x:v>
      </x:c>
      <x:c r="D46" s="29" t="n">
        <x:v>2870.016</x:v>
      </x:c>
      <x:c r="E46" s="31" t="n">
        <x:v>0.6592311019365438</x:v>
      </x:c>
      <x:c r="F46" s="31" t="n">
        <x:v>13.954</x:v>
      </x:c>
      <x:c r="G46" s="25" t="str">
        <x:v>AR2025</x:v>
      </x:c>
      <x:c r="H46" s="9" t="str"/>
    </x:row>
    <x:row r="47">
      <x:c r="A47" s="8" t="n">
        <x:v>2025</x:v>
      </x:c>
      <x:c r="B47" s="25" t="str">
        <x:v>美洲</x:v>
      </x:c>
      <x:c r="C47" s="25" t="str">
        <x:v>TikTok</x:v>
      </x:c>
      <x:c r="D47" s="29" t="n">
        <x:v>1039.919</x:v>
      </x:c>
      <x:c r="E47" s="31" t="n">
        <x:v>0.23886520085419338</x:v>
      </x:c>
      <x:c r="F47" s="31" t="n">
        <x:v>8.659</x:v>
      </x:c>
      <x:c r="G47" s="25" t="str">
        <x:v>AR2025</x:v>
      </x:c>
      <x:c r="H47" s="9" t="str"/>
    </x:row>
    <x:row r="48">
      <x:c r="A48" s="8" t="n">
        <x:v>2025</x:v>
      </x:c>
      <x:c r="B48" s="25" t="str">
        <x:v>美洲</x:v>
      </x:c>
      <x:c r="C48" s="25" t="str">
        <x:v>其他</x:v>
      </x:c>
      <x:c r="D48" s="29" t="n">
        <x:v>443.646</x:v>
      </x:c>
      <x:c r="E48" s="31" t="n">
        <x:v>0.1019036972092629</x:v>
      </x:c>
      <x:c r="F48" s="31" t="n">
        <x:v>5.851</x:v>
      </x:c>
      <x:c r="G48" s="25" t="str">
        <x:v>AR2025</x:v>
      </x:c>
      <x:c r="H48" s="9" t="str"/>
    </x:row>
    <x:row r="49">
      <x:c r="A49" s="8" t="n">
        <x:v>2025</x:v>
      </x:c>
      <x:c r="B49" s="25" t="str">
        <x:v>欧洲及其他</x:v>
      </x:c>
      <x:c r="C49" s="25" t="str">
        <x:v>自研APP及官方站</x:v>
      </x:c>
      <x:c r="D49" s="29" t="n">
        <x:v>315.571</x:v>
      </x:c>
      <x:c r="E49" s="31" t="n">
        <x:v>0.6249376193154365</x:v>
      </x:c>
      <x:c r="F49" s="31" t="n">
        <x:v>14.142</x:v>
      </x:c>
      <x:c r="G49" s="25" t="str">
        <x:v>AR2025</x:v>
      </x:c>
      <x:c r="H49" s="9" t="str"/>
    </x:row>
    <x:row r="50">
      <x:c r="A50" s="8" t="n">
        <x:v>2025</x:v>
      </x:c>
      <x:c r="B50" s="25" t="str">
        <x:v>欧洲及其他</x:v>
      </x:c>
      <x:c r="C50" s="25" t="str">
        <x:v>其他</x:v>
      </x:c>
      <x:c r="D50" s="29" t="n">
        <x:v>189.393</x:v>
      </x:c>
      <x:c r="E50" s="31" t="n">
        <x:v>0.37506238068456366</x:v>
      </x:c>
      <x:c r="F50" s="31" t="n">
        <x:v>4.519</x:v>
      </x:c>
      <x:c r="G50" s="25" t="str">
        <x:v>AR2025</x:v>
      </x:c>
      <x:c r="H50" s="9" t="str"/>
    </x:row>
    <x:row r="51">
      <x:c r="A51" s="8" t="str">
        <x:v>2026H1</x:v>
      </x:c>
      <x:c r="B51" s="25" t="str">
        <x:v>PRC</x:v>
      </x:c>
      <x:c r="C51" s="25" t="str">
        <x:v>抽盒机</x:v>
      </x:c>
      <x:c r="D51" s="29" t="n">
        <x:v>2062.871</x:v>
      </x:c>
      <x:c r="E51" s="31" t="n">
        <x:v>0.4316762179868945</x:v>
      </x:c>
      <x:c r="F51" s="31" t="n">
        <x:v>0.833</x:v>
      </x:c>
      <x:c r="G51" s="25" t="str">
        <x:v>H12026</x:v>
      </x:c>
      <x:c r="H51" s="9" t="str"/>
    </x:row>
    <x:row r="52">
      <x:c r="A52" s="8" t="str">
        <x:v>2026H1</x:v>
      </x:c>
      <x:c r="B52" s="25" t="str">
        <x:v>PRC</x:v>
      </x:c>
      <x:c r="C52" s="25" t="str">
        <x:v>抖音</x:v>
      </x:c>
      <x:c r="D52" s="29" t="n">
        <x:v>976.376</x:v>
      </x:c>
      <x:c r="E52" s="31" t="n">
        <x:v>0.204316362493424</x:v>
      </x:c>
      <x:c r="F52" s="31" t="n">
        <x:v>0.74</x:v>
      </x:c>
      <x:c r="G52" s="25" t="str">
        <x:v>H12026</x:v>
      </x:c>
      <x:c r="H52" s="9" t="str"/>
    </x:row>
    <x:row r="53">
      <x:c r="A53" s="8" t="str">
        <x:v>2026H1</x:v>
      </x:c>
      <x:c r="B53" s="25" t="str">
        <x:v>PRC</x:v>
      </x:c>
      <x:c r="C53" s="25" t="str">
        <x:v>天猫</x:v>
      </x:c>
      <x:c r="D53" s="29" t="n">
        <x:v>901.303</x:v>
      </x:c>
      <x:c r="E53" s="31" t="n">
        <x:v>0.18860659260818632</x:v>
      </x:c>
      <x:c r="F53" s="31" t="n">
        <x:v>0.371</x:v>
      </x:c>
      <x:c r="G53" s="25" t="str">
        <x:v>H12026</x:v>
      </x:c>
      <x:c r="H53" s="9" t="str"/>
    </x:row>
    <x:row r="54">
      <x:c r="A54" s="8" t="str">
        <x:v>2026H1</x:v>
      </x:c>
      <x:c r="B54" s="25" t="str">
        <x:v>PRC</x:v>
      </x:c>
      <x:c r="C54" s="25" t="str">
        <x:v>其他</x:v>
      </x:c>
      <x:c r="D54" s="29" t="n">
        <x:v>838.196</x:v>
      </x:c>
      <x:c r="E54" s="31" t="n">
        <x:v>0.1754008269114952</x:v>
      </x:c>
      <x:c r="F54" s="31" t="n">
        <x:v>0.413</x:v>
      </x:c>
      <x:c r="G54" s="25" t="str">
        <x:v>H12026</x:v>
      </x:c>
      <x:c r="H54" s="9" t="str"/>
    </x:row>
    <x:row r="55">
      <x:c r="A55" s="8" t="str">
        <x:v>2026H1</x:v>
      </x:c>
      <x:c r="B55" s="25" t="str">
        <x:v>亚太</x:v>
      </x:c>
      <x:c r="C55" s="25" t="str">
        <x:v>自研APP及官方站</x:v>
      </x:c>
      <x:c r="D55" s="29" t="n">
        <x:v>338.397</x:v>
      </x:c>
      <x:c r="E55" s="31" t="n">
        <x:v>0.5258277898721313</x:v>
      </x:c>
      <x:c r="F55" s="31" t="n">
        <x:v>0.081</x:v>
      </x:c>
      <x:c r="G55" s="25" t="str">
        <x:v>H12026</x:v>
      </x:c>
      <x:c r="H55" s="9" t="str"/>
    </x:row>
    <x:row r="56">
      <x:c r="A56" s="8" t="str">
        <x:v>2026H1</x:v>
      </x:c>
      <x:c r="B56" s="25" t="str">
        <x:v>亚太</x:v>
      </x:c>
      <x:c r="C56" s="25" t="str">
        <x:v>Shopee</x:v>
      </x:c>
      <x:c r="D56" s="29" t="n">
        <x:v>106.528</x:v>
      </x:c>
      <x:c r="E56" s="31" t="n">
        <x:v>0.16553155849342166</x:v>
      </x:c>
      <x:c r="F56" s="31" t="n">
        <x:v>-0.621</x:v>
      </x:c>
      <x:c r="G56" s="25" t="str">
        <x:v>H12026</x:v>
      </x:c>
      <x:c r="H56" s="9" t="str"/>
    </x:row>
    <x:row r="57">
      <x:c r="A57" s="8" t="str">
        <x:v>2026H1</x:v>
      </x:c>
      <x:c r="B57" s="25" t="str">
        <x:v>亚太</x:v>
      </x:c>
      <x:c r="C57" s="25" t="str">
        <x:v>其他</x:v>
      </x:c>
      <x:c r="D57" s="29" t="n">
        <x:v>198.626</x:v>
      </x:c>
      <x:c r="E57" s="31" t="n">
        <x:v>0.308640651634447</x:v>
      </x:c>
      <x:c r="F57" s="31" t="n">
        <x:v>-0.582</x:v>
      </x:c>
      <x:c r="G57" s="25" t="str">
        <x:v>H12026</x:v>
      </x:c>
      <x:c r="H57" s="9" t="str"/>
    </x:row>
    <x:row r="58">
      <x:c r="A58" s="8" t="str">
        <x:v>2026H1</x:v>
      </x:c>
      <x:c r="B58" s="25" t="str">
        <x:v>美洲</x:v>
      </x:c>
      <x:c r="C58" s="25" t="str">
        <x:v>自研APP及官方站</x:v>
      </x:c>
      <x:c r="D58" s="29" t="n">
        <x:v>491.235</x:v>
      </x:c>
      <x:c r="E58" s="31" t="n">
        <x:v>0.6802452142508973</x:v>
      </x:c>
      <x:c r="F58" s="31" t="n">
        <x:v>-0.446</x:v>
      </x:c>
      <x:c r="G58" s="25" t="str">
        <x:v>H12026</x:v>
      </x:c>
      <x:c r="H58" s="9" t="str"/>
    </x:row>
    <x:row r="59">
      <x:c r="A59" s="8" t="str">
        <x:v>2026H1</x:v>
      </x:c>
      <x:c r="B59" s="25" t="str">
        <x:v>美洲</x:v>
      </x:c>
      <x:c r="C59" s="25" t="str">
        <x:v>Amazon</x:v>
      </x:c>
      <x:c r="D59" s="29" t="n">
        <x:v>168.318</x:v>
      </x:c>
      <x:c r="E59" s="31" t="n">
        <x:v>0.23308093676607436</x:v>
      </x:c>
      <x:c r="F59" s="31" t="n">
        <x:v>0.346</x:v>
      </x:c>
      <x:c r="G59" s="25" t="str">
        <x:v>H12026</x:v>
      </x:c>
      <x:c r="H59" s="9" t="str"/>
    </x:row>
    <x:row r="60">
      <x:c r="A60" s="8" t="str">
        <x:v>2026H1</x:v>
      </x:c>
      <x:c r="B60" s="25" t="str">
        <x:v>美洲</x:v>
      </x:c>
      <x:c r="C60" s="25" t="str">
        <x:v>其他</x:v>
      </x:c>
      <x:c r="D60" s="29" t="n">
        <x:v>62.591</x:v>
      </x:c>
      <x:c r="E60" s="31" t="n">
        <x:v>0.08667384898302832</x:v>
      </x:c>
      <x:c r="F60" s="31" t="n">
        <x:v>-0.801</x:v>
      </x:c>
      <x:c r="G60" s="25" t="str">
        <x:v>H12026</x:v>
      </x:c>
      <x:c r="H60" s="9" t="str"/>
    </x:row>
    <x:row r="61">
      <x:c r="A61" s="8" t="str">
        <x:v>2026H1</x:v>
      </x:c>
      <x:c r="B61" s="25" t="str">
        <x:v>欧洲及其他</x:v>
      </x:c>
      <x:c r="C61" s="25" t="str">
        <x:v>自研APP及官方站</x:v>
      </x:c>
      <x:c r="D61" s="29" t="n">
        <x:v>52.991</x:v>
      </x:c>
      <x:c r="E61" s="31" t="n">
        <x:v>0.7835312208898286</x:v>
      </x:c>
      <x:c r="F61" s="31" t="n">
        <x:v>-0.374</x:v>
      </x:c>
      <x:c r="G61" s="25" t="str">
        <x:v>H12026</x:v>
      </x:c>
      <x:c r="H61" s="9" t="str"/>
    </x:row>
    <x:row r="62">
      <x:c r="A62" s="10" t="str">
        <x:v>2026H1</x:v>
      </x:c>
      <x:c r="B62" s="26" t="str">
        <x:v>欧洲及其他</x:v>
      </x:c>
      <x:c r="C62" s="26" t="str">
        <x:v>其他</x:v>
      </x:c>
      <x:c r="D62" s="30" t="n">
        <x:v>14.64</x:v>
      </x:c>
      <x:c r="E62" s="32" t="n">
        <x:v>0.21646877911017137</x:v>
      </x:c>
      <x:c r="F62" s="32" t="n">
        <x:v>-0.818</x:v>
      </x:c>
      <x:c r="G62" s="26" t="str">
        <x:v>H12026</x:v>
      </x:c>
      <x:c r="H62" s="11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30" hidden="0" customWidth="1"/>
  </x:cols>
  <x:sheetData>
    <x:row r="1" ht="30" customHeight="1">
      <x:c r="A1" s="2" t="str">
        <x:v>产品品类收入</x:v>
      </x:c>
    </x:row>
    <x:row r="2" ht="30" customHeight="1">
      <x:c r="A2" s="5" t="str">
        <x:v>公司自2023年起披露统一产品品类；2026H1不再单列MEGA，归入其他IP相关产品。</x:v>
      </x:c>
    </x:row>
    <x:row r="4" ht="28" customHeight="1">
      <x:c r="A4" s="17" t="str">
        <x:v>期间</x:v>
      </x:c>
      <x:c r="B4" s="17" t="str">
        <x:v>品类</x:v>
      </x:c>
      <x:c r="C4" s="17" t="str">
        <x:v>收入</x:v>
      </x:c>
      <x:c r="D4" s="17" t="str">
        <x:v>占比</x:v>
      </x:c>
      <x:c r="E4" s="17" t="str">
        <x:v>同比</x:v>
      </x:c>
      <x:c r="F4" s="17" t="str">
        <x:v>来源ID</x:v>
      </x:c>
      <x:c r="G4" s="17" t="str">
        <x:v>备注</x:v>
      </x:c>
    </x:row>
    <x:row r="5">
      <x:c r="A5" s="8" t="n">
        <x:v>2023</x:v>
      </x:c>
      <x:c r="B5" s="25" t="str">
        <x:v>手办</x:v>
      </x:c>
      <x:c r="C5" s="29" t="n">
        <x:v>4793.872</x:v>
      </x:c>
      <x:c r="D5" s="31" t="n">
        <x:v>0.760811058304695</x:v>
      </x:c>
      <x:c r="E5" s="31"/>
      <x:c r="F5" s="25" t="str">
        <x:v>AR2024</x:v>
      </x:c>
      <x:c r="G5" s="9" t="str">
        <x:v>2024年报比较数</x:v>
      </x:c>
    </x:row>
    <x:row r="6">
      <x:c r="A6" s="8" t="n">
        <x:v>2023</x:v>
      </x:c>
      <x:c r="B6" s="25" t="str">
        <x:v>毛绒</x:v>
      </x:c>
      <x:c r="C6" s="29" t="n">
        <x:v>203.888</x:v>
      </x:c>
      <x:c r="D6" s="31" t="n">
        <x:v>0.03235802813584252</x:v>
      </x:c>
      <x:c r="E6" s="31"/>
      <x:c r="F6" s="25" t="str">
        <x:v>AR2024</x:v>
      </x:c>
      <x:c r="G6" s="9" t="str"/>
    </x:row>
    <x:row r="7">
      <x:c r="A7" s="8" t="n">
        <x:v>2023</x:v>
      </x:c>
      <x:c r="B7" s="25" t="str">
        <x:v>MEGA</x:v>
      </x:c>
      <x:c r="C7" s="29" t="n">
        <x:v>684.275</x:v>
      </x:c>
      <x:c r="D7" s="31" t="n">
        <x:v>0.10859780714241957</x:v>
      </x:c>
      <x:c r="E7" s="31"/>
      <x:c r="F7" s="25" t="str">
        <x:v>AR2024</x:v>
      </x:c>
      <x:c r="G7" s="9" t="str"/>
    </x:row>
    <x:row r="8">
      <x:c r="A8" s="8" t="n">
        <x:v>2023</x:v>
      </x:c>
      <x:c r="B8" s="25" t="str">
        <x:v>衍生品及其他</x:v>
      </x:c>
      <x:c r="C8" s="29" t="n">
        <x:v>618.967</x:v>
      </x:c>
      <x:c r="D8" s="31" t="n">
        <x:v>0.09823310641704287</x:v>
      </x:c>
      <x:c r="E8" s="31"/>
      <x:c r="F8" s="25" t="str">
        <x:v>AR2024</x:v>
      </x:c>
      <x:c r="G8" s="9" t="str"/>
    </x:row>
    <x:row r="9">
      <x:c r="A9" s="8" t="n">
        <x:v>2024</x:v>
      </x:c>
      <x:c r="B9" s="25" t="str">
        <x:v>手办</x:v>
      </x:c>
      <x:c r="C9" s="29" t="n">
        <x:v>6936.087</x:v>
      </x:c>
      <x:c r="D9" s="31" t="n">
        <x:v>0.532000347606017</x:v>
      </x:c>
      <x:c r="E9" s="31" t="n">
        <x:v>0.447</x:v>
      </x:c>
      <x:c r="F9" s="25" t="str">
        <x:v>AR2024</x:v>
      </x:c>
      <x:c r="G9" s="9" t="str"/>
    </x:row>
    <x:row r="10">
      <x:c r="A10" s="8" t="n">
        <x:v>2024</x:v>
      </x:c>
      <x:c r="B10" s="25" t="str">
        <x:v>毛绒</x:v>
      </x:c>
      <x:c r="C10" s="29" t="n">
        <x:v>2832.078</x:v>
      </x:c>
      <x:c r="D10" s="31" t="n">
        <x:v>0.21722139304875404</x:v>
      </x:c>
      <x:c r="E10" s="31" t="n">
        <x:v>12.89</x:v>
      </x:c>
      <x:c r="F10" s="25" t="str">
        <x:v>AR2024</x:v>
      </x:c>
      <x:c r="G10" s="9" t="str"/>
    </x:row>
    <x:row r="11">
      <x:c r="A11" s="8" t="n">
        <x:v>2024</x:v>
      </x:c>
      <x:c r="B11" s="25" t="str">
        <x:v>MEGA</x:v>
      </x:c>
      <x:c r="C11" s="29" t="n">
        <x:v>1683.78</x:v>
      </x:c>
      <x:c r="D11" s="31" t="n">
        <x:v>0.1291465267508985</x:v>
      </x:c>
      <x:c r="E11" s="31" t="n">
        <x:v>1.461</x:v>
      </x:c>
      <x:c r="F11" s="25" t="str">
        <x:v>AR2024</x:v>
      </x:c>
      <x:c r="G11" s="9" t="str"/>
    </x:row>
    <x:row r="12">
      <x:c r="A12" s="8" t="n">
        <x:v>2024</x:v>
      </x:c>
      <x:c r="B12" s="25" t="str">
        <x:v>衍生品及其他</x:v>
      </x:c>
      <x:c r="C12" s="29" t="n">
        <x:v>1585.804</x:v>
      </x:c>
      <x:c r="D12" s="31" t="n">
        <x:v>0.12163173259433052</x:v>
      </x:c>
      <x:c r="E12" s="31" t="n">
        <x:v>1.562</x:v>
      </x:c>
      <x:c r="F12" s="25" t="str">
        <x:v>AR2024</x:v>
      </x:c>
      <x:c r="G12" s="9" t="str"/>
    </x:row>
    <x:row r="13">
      <x:c r="A13" s="8" t="n">
        <x:v>2025</x:v>
      </x:c>
      <x:c r="B13" s="25" t="str">
        <x:v>手办</x:v>
      </x:c>
      <x:c r="C13" s="29" t="n">
        <x:v>12022.569</x:v>
      </x:c>
      <x:c r="D13" s="31" t="n">
        <x:v>0.32388340943056865</x:v>
      </x:c>
      <x:c r="E13" s="31" t="n">
        <x:v>0.733</x:v>
      </x:c>
      <x:c r="F13" s="25" t="str">
        <x:v>AR2025</x:v>
      </x:c>
      <x:c r="G13" s="9" t="str"/>
    </x:row>
    <x:row r="14">
      <x:c r="A14" s="8" t="n">
        <x:v>2025</x:v>
      </x:c>
      <x:c r="B14" s="25" t="str">
        <x:v>毛绒</x:v>
      </x:c>
      <x:c r="C14" s="29" t="n">
        <x:v>18708.074</x:v>
      </x:c>
      <x:c r="D14" s="31" t="n">
        <x:v>0.5039883564818282</x:v>
      </x:c>
      <x:c r="E14" s="31" t="n">
        <x:v>5.606</x:v>
      </x:c>
      <x:c r="F14" s="25" t="str">
        <x:v>AR2025</x:v>
      </x:c>
      <x:c r="G14" s="9" t="str"/>
    </x:row>
    <x:row r="15">
      <x:c r="A15" s="8" t="n">
        <x:v>2025</x:v>
      </x:c>
      <x:c r="B15" s="25" t="str">
        <x:v>MEGA</x:v>
      </x:c>
      <x:c r="C15" s="29" t="n">
        <x:v>1916.082</x:v>
      </x:c>
      <x:c r="D15" s="31" t="n">
        <x:v>0.05161851605164777</x:v>
      </x:c>
      <x:c r="E15" s="31" t="n">
        <x:v>0.138</x:v>
      </x:c>
      <x:c r="F15" s="25" t="str">
        <x:v>AR2025</x:v>
      </x:c>
      <x:c r="G15" s="9" t="str"/>
    </x:row>
    <x:row r="16">
      <x:c r="A16" s="8" t="n">
        <x:v>2025</x:v>
      </x:c>
      <x:c r="B16" s="25" t="str">
        <x:v>衍生品及其他</x:v>
      </x:c>
      <x:c r="C16" s="29" t="n">
        <x:v>4473.327</x:v>
      </x:c>
      <x:c r="D16" s="31" t="n">
        <x:v>0.12050971803595534</x:v>
      </x:c>
      <x:c r="E16" s="31" t="n">
        <x:v>1.821</x:v>
      </x:c>
      <x:c r="F16" s="25" t="str">
        <x:v>AR2025</x:v>
      </x:c>
      <x:c r="G16" s="9" t="str"/>
    </x:row>
    <x:row r="17">
      <x:c r="A17" s="8" t="str">
        <x:v>2025H1</x:v>
      </x:c>
      <x:c r="B17" s="25" t="str">
        <x:v>手办</x:v>
      </x:c>
      <x:c r="C17" s="29" t="n">
        <x:v>5175.875</x:v>
      </x:c>
      <x:c r="D17" s="31" t="n">
        <x:v>0.3730017333180747</x:v>
      </x:c>
      <x:c r="E17" s="31"/>
      <x:c r="F17" s="25" t="str">
        <x:v>H12026</x:v>
      </x:c>
      <x:c r="G17" s="9" t="str">
        <x:v>2026中报比较数</x:v>
      </x:c>
    </x:row>
    <x:row r="18">
      <x:c r="A18" s="8" t="str">
        <x:v>2025H1</x:v>
      </x:c>
      <x:c r="B18" s="25" t="str">
        <x:v>毛绒</x:v>
      </x:c>
      <x:c r="C18" s="29" t="n">
        <x:v>6139.236</x:v>
      </x:c>
      <x:c r="D18" s="31" t="n">
        <x:v>0.4424267721397297</x:v>
      </x:c>
      <x:c r="E18" s="31"/>
      <x:c r="F18" s="25" t="str">
        <x:v>H12026</x:v>
      </x:c>
      <x:c r="G18" s="9" t="str"/>
    </x:row>
    <x:row r="19">
      <x:c r="A19" s="8" t="str">
        <x:v>2025H1</x:v>
      </x:c>
      <x:c r="B19" s="25" t="str">
        <x:v>其他IP相关产品及其他</x:v>
      </x:c>
      <x:c r="C19" s="29" t="n">
        <x:v>2561.165</x:v>
      </x:c>
      <x:c r="D19" s="31" t="n">
        <x:v>0.18457149454219562</x:v>
      </x:c>
      <x:c r="E19" s="31"/>
      <x:c r="F19" s="25" t="str">
        <x:v>H12026</x:v>
      </x:c>
      <x:c r="G19" s="9" t="str">
        <x:v>含MEGA</x:v>
      </x:c>
    </x:row>
    <x:row r="20">
      <x:c r="A20" s="52" t="str">
        <x:v>2026H1</x:v>
      </x:c>
      <x:c r="B20" s="53" t="str">
        <x:v>手办</x:v>
      </x:c>
      <x:c r="C20" s="54" t="n">
        <x:v>5192.493</x:v>
      </x:c>
      <x:c r="D20" s="55" t="n">
        <x:v>0.30236515966037464</x:v>
      </x:c>
      <x:c r="E20" s="55" t="n">
        <x:v>0.003</x:v>
      </x:c>
      <x:c r="F20" s="53" t="str">
        <x:v>H12026</x:v>
      </x:c>
      <x:c r="G20" s="62" t="str"/>
    </x:row>
    <x:row r="21">
      <x:c r="A21" s="52" t="str">
        <x:v>2026H1</x:v>
      </x:c>
      <x:c r="B21" s="53" t="str">
        <x:v>毛绒</x:v>
      </x:c>
      <x:c r="C21" s="54" t="n">
        <x:v>9824.944</x:v>
      </x:c>
      <x:c r="D21" s="55" t="n">
        <x:v>0.5721183950010601</x:v>
      </x:c>
      <x:c r="E21" s="55" t="n">
        <x:v>0.6</x:v>
      </x:c>
      <x:c r="F21" s="53" t="str">
        <x:v>H12026</x:v>
      </x:c>
      <x:c r="G21" s="62" t="str"/>
    </x:row>
    <x:row r="22">
      <x:c r="A22" s="57" t="str">
        <x:v>2026H1</x:v>
      </x:c>
      <x:c r="B22" s="58" t="str">
        <x:v>其他IP相关产品及其他</x:v>
      </x:c>
      <x:c r="C22" s="59" t="n">
        <x:v>2155.484</x:v>
      </x:c>
      <x:c r="D22" s="60" t="n">
        <x:v>0.1255164453385653</x:v>
      </x:c>
      <x:c r="E22" s="60" t="n">
        <x:v>-0.158</x:v>
      </x:c>
      <x:c r="F22" s="58" t="str">
        <x:v>H12026</x:v>
      </x:c>
      <x:c r="G22" s="63" t="str">
        <x:v>含MEGA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12" hidden="0" customWidth="1"/>
    <x:col min="6" max="6" width="16" hidden="0" customWidth="1"/>
    <x:col min="7" max="7" width="12" hidden="0" customWidth="1"/>
    <x:col min="8" max="8" width="26" hidden="0" customWidth="1"/>
  </x:cols>
  <x:sheetData>
    <x:row r="1" ht="30" customHeight="1">
      <x:c r="A1" s="2" t="str">
        <x:v>IP收入（公司披露的具名IP）</x:v>
      </x:c>
    </x:row>
    <x:row r="2" ht="30" customHeight="1">
      <x:c r="A2" s="5" t="str">
        <x:v>分类方法于2023年变化：此前的自有IP+独家IP合并为艺术家IP。表中仅列公司具名披露项，不代表全部IP。</x:v>
      </x:c>
    </x:row>
    <x:row r="4" ht="28" customHeight="1">
      <x:c r="A4" s="17" t="str">
        <x:v>期间</x:v>
      </x:c>
      <x:c r="B4" s="17" t="str">
        <x:v>IP</x:v>
      </x:c>
      <x:c r="C4" s="17" t="str">
        <x:v>收入</x:v>
      </x:c>
      <x:c r="D4" s="17" t="str">
        <x:v>占总收入</x:v>
      </x:c>
      <x:c r="E4" s="17" t="str">
        <x:v>同比</x:v>
      </x:c>
      <x:c r="F4" s="17" t="str">
        <x:v>分类口径</x:v>
      </x:c>
      <x:c r="G4" s="17" t="str">
        <x:v>来源ID</x:v>
      </x:c>
      <x:c r="H4" s="17" t="str">
        <x:v>备注</x:v>
      </x:c>
    </x:row>
    <x:row r="5">
      <x:c r="A5" s="8" t="n">
        <x:v>2020</x:v>
      </x:c>
      <x:c r="B5" s="25" t="str">
        <x:v>MOLLY</x:v>
      </x:c>
      <x:c r="C5" s="29" t="n">
        <x:v>356.918</x:v>
      </x:c>
      <x:c r="D5" s="31" t="n">
        <x:v>0.142</x:v>
      </x:c>
      <x:c r="E5" s="31" t="n">
        <x:v>-0.217</x:v>
      </x:c>
      <x:c r="F5" s="25" t="str">
        <x:v>自有IP</x:v>
      </x:c>
      <x:c r="G5" s="25" t="str">
        <x:v>AR2020</x:v>
      </x:c>
      <x:c r="H5" s="9" t="str"/>
    </x:row>
    <x:row r="6">
      <x:c r="A6" s="8" t="n">
        <x:v>2020</x:v>
      </x:c>
      <x:c r="B6" s="25" t="str">
        <x:v>DIMOO</x:v>
      </x:c>
      <x:c r="C6" s="29" t="n">
        <x:v>315.248</x:v>
      </x:c>
      <x:c r="D6" s="31" t="n">
        <x:v>0.125</x:v>
      </x:c>
      <x:c r="E6" s="31" t="n">
        <x:v>2.15</x:v>
      </x:c>
      <x:c r="F6" s="25" t="str">
        <x:v>自有IP</x:v>
      </x:c>
      <x:c r="G6" s="25" t="str">
        <x:v>AR2020</x:v>
      </x:c>
      <x:c r="H6" s="9" t="str"/>
    </x:row>
    <x:row r="7">
      <x:c r="A7" s="8" t="n">
        <x:v>2020</x:v>
      </x:c>
      <x:c r="B7" s="25" t="str">
        <x:v>THE MONSTERS</x:v>
      </x:c>
      <x:c r="C7" s="29" t="n">
        <x:v>204.828</x:v>
      </x:c>
      <x:c r="D7" s="31" t="n">
        <x:v>0.081</x:v>
      </x:c>
      <x:c r="E7" s="31" t="n">
        <x:v>0.899</x:v>
      </x:c>
      <x:c r="F7" s="25" t="str">
        <x:v>独家IP</x:v>
      </x:c>
      <x:c r="G7" s="25" t="str">
        <x:v>AR2020</x:v>
      </x:c>
      <x:c r="H7" s="9" t="str"/>
    </x:row>
    <x:row r="8">
      <x:c r="A8" s="8" t="n">
        <x:v>2020</x:v>
      </x:c>
      <x:c r="B8" s="25" t="str">
        <x:v>PUCKY</x:v>
      </x:c>
      <x:c r="C8" s="29" t="n">
        <x:v>300.009</x:v>
      </x:c>
      <x:c r="D8" s="31" t="n">
        <x:v>0.119</x:v>
      </x:c>
      <x:c r="E8" s="31" t="n">
        <x:v>-0.049</x:v>
      </x:c>
      <x:c r="F8" s="25" t="str">
        <x:v>独家IP</x:v>
      </x:c>
      <x:c r="G8" s="25" t="str">
        <x:v>AR2020</x:v>
      </x:c>
      <x:c r="H8" s="9" t="str"/>
    </x:row>
    <x:row r="9">
      <x:c r="A9" s="8" t="n">
        <x:v>2020</x:v>
      </x:c>
      <x:c r="B9" s="25" t="str">
        <x:v>SKULLPANDA</x:v>
      </x:c>
      <x:c r="C9" s="29" t="n">
        <x:v>39.065</x:v>
      </x:c>
      <x:c r="D9" s="31" t="n">
        <x:v>0.016</x:v>
      </x:c>
      <x:c r="E9" s="31"/>
      <x:c r="F9" s="25" t="str">
        <x:v>自有IP</x:v>
      </x:c>
      <x:c r="G9" s="25" t="str">
        <x:v>AR2020</x:v>
      </x:c>
      <x:c r="H9" s="9" t="str">
        <x:v>新IP</x:v>
      </x:c>
    </x:row>
    <x:row r="10">
      <x:c r="A10" s="8" t="n">
        <x:v>2021</x:v>
      </x:c>
      <x:c r="B10" s="25" t="str">
        <x:v>MOLLY</x:v>
      </x:c>
      <x:c r="C10" s="29" t="n">
        <x:v>705.098</x:v>
      </x:c>
      <x:c r="D10" s="31" t="n">
        <x:v>0.157</x:v>
      </x:c>
      <x:c r="E10" s="31" t="n">
        <x:v>0.975</x:v>
      </x:c>
      <x:c r="F10" s="25" t="str">
        <x:v>自有IP</x:v>
      </x:c>
      <x:c r="G10" s="25" t="str">
        <x:v>AR2021</x:v>
      </x:c>
      <x:c r="H10" s="9" t="str"/>
    </x:row>
    <x:row r="11">
      <x:c r="A11" s="8" t="n">
        <x:v>2021</x:v>
      </x:c>
      <x:c r="B11" s="25" t="str">
        <x:v>SKULLPANDA</x:v>
      </x:c>
      <x:c r="C11" s="29" t="n">
        <x:v>595.256</x:v>
      </x:c>
      <x:c r="D11" s="31" t="n">
        <x:v>0.133</x:v>
      </x:c>
      <x:c r="E11" s="31" t="n">
        <x:v>14.234</x:v>
      </x:c>
      <x:c r="F11" s="25" t="str">
        <x:v>自有IP</x:v>
      </x:c>
      <x:c r="G11" s="25" t="str">
        <x:v>AR2021</x:v>
      </x:c>
      <x:c r="H11" s="9" t="str"/>
    </x:row>
    <x:row r="12">
      <x:c r="A12" s="8" t="n">
        <x:v>2021</x:v>
      </x:c>
      <x:c r="B12" s="25" t="str">
        <x:v>DIMOO</x:v>
      </x:c>
      <x:c r="C12" s="29" t="n">
        <x:v>566.735</x:v>
      </x:c>
      <x:c r="D12" s="31" t="n">
        <x:v>0.126</x:v>
      </x:c>
      <x:c r="E12" s="31" t="n">
        <x:v>0.798</x:v>
      </x:c>
      <x:c r="F12" s="25" t="str">
        <x:v>自有IP</x:v>
      </x:c>
      <x:c r="G12" s="25" t="str">
        <x:v>AR2021</x:v>
      </x:c>
      <x:c r="H12" s="9" t="str"/>
    </x:row>
    <x:row r="13">
      <x:c r="A13" s="8" t="n">
        <x:v>2021</x:v>
      </x:c>
      <x:c r="B13" s="25" t="str">
        <x:v>THE MONSTERS</x:v>
      </x:c>
      <x:c r="C13" s="29" t="n">
        <x:v>304.431</x:v>
      </x:c>
      <x:c r="D13" s="31" t="n">
        <x:v>0.068</x:v>
      </x:c>
      <x:c r="E13" s="31" t="n">
        <x:v>0.486</x:v>
      </x:c>
      <x:c r="F13" s="25" t="str">
        <x:v>独家IP</x:v>
      </x:c>
      <x:c r="G13" s="25" t="str">
        <x:v>AR2021</x:v>
      </x:c>
      <x:c r="H13" s="9" t="str"/>
    </x:row>
    <x:row r="14">
      <x:c r="A14" s="8" t="n">
        <x:v>2021</x:v>
      </x:c>
      <x:c r="B14" s="25" t="str">
        <x:v>PUCKY</x:v>
      </x:c>
      <x:c r="C14" s="29" t="n">
        <x:v>182.245</x:v>
      </x:c>
      <x:c r="D14" s="31" t="n">
        <x:v>0.041</x:v>
      </x:c>
      <x:c r="E14" s="31" t="n">
        <x:v>-0.393</x:v>
      </x:c>
      <x:c r="F14" s="25" t="str">
        <x:v>独家IP</x:v>
      </x:c>
      <x:c r="G14" s="25" t="str">
        <x:v>AR2021</x:v>
      </x:c>
      <x:c r="H14" s="9" t="str"/>
    </x:row>
    <x:row r="15">
      <x:c r="A15" s="8" t="n">
        <x:v>2022</x:v>
      </x:c>
      <x:c r="B15" s="25" t="str">
        <x:v>SKULLPANDA</x:v>
      </x:c>
      <x:c r="C15" s="29" t="n">
        <x:v>851.611</x:v>
      </x:c>
      <x:c r="D15" s="31" t="n">
        <x:v>0.184</x:v>
      </x:c>
      <x:c r="E15" s="31" t="n">
        <x:v>0.431</x:v>
      </x:c>
      <x:c r="F15" s="25" t="str">
        <x:v>自有IP</x:v>
      </x:c>
      <x:c r="G15" s="25" t="str">
        <x:v>AR2022</x:v>
      </x:c>
      <x:c r="H15" s="9" t="str"/>
    </x:row>
    <x:row r="16">
      <x:c r="A16" s="8" t="n">
        <x:v>2022</x:v>
      </x:c>
      <x:c r="B16" s="25" t="str">
        <x:v>MOLLY</x:v>
      </x:c>
      <x:c r="C16" s="29" t="n">
        <x:v>802.155</x:v>
      </x:c>
      <x:c r="D16" s="31" t="n">
        <x:v>0.174</x:v>
      </x:c>
      <x:c r="E16" s="31" t="n">
        <x:v>0.138</x:v>
      </x:c>
      <x:c r="F16" s="25" t="str">
        <x:v>自有IP</x:v>
      </x:c>
      <x:c r="G16" s="25" t="str">
        <x:v>AR2022</x:v>
      </x:c>
      <x:c r="H16" s="9" t="str"/>
    </x:row>
    <x:row r="17">
      <x:c r="A17" s="8" t="n">
        <x:v>2022</x:v>
      </x:c>
      <x:c r="B17" s="25" t="str">
        <x:v>DIMOO</x:v>
      </x:c>
      <x:c r="C17" s="29" t="n">
        <x:v>577.948</x:v>
      </x:c>
      <x:c r="D17" s="31" t="n">
        <x:v>0.125</x:v>
      </x:c>
      <x:c r="E17" s="31" t="n">
        <x:v>0.02</x:v>
      </x:c>
      <x:c r="F17" s="25" t="str">
        <x:v>自有IP</x:v>
      </x:c>
      <x:c r="G17" s="25" t="str">
        <x:v>AR2022</x:v>
      </x:c>
      <x:c r="H17" s="9" t="str"/>
    </x:row>
    <x:row r="18">
      <x:c r="A18" s="8" t="n">
        <x:v>2022</x:v>
      </x:c>
      <x:c r="B18" s="25" t="str">
        <x:v>THE MONSTERS</x:v>
      </x:c>
      <x:c r="C18" s="29" t="n">
        <x:v>263.002</x:v>
      </x:c>
      <x:c r="D18" s="31" t="n">
        <x:v>0.057</x:v>
      </x:c>
      <x:c r="E18" s="31" t="n">
        <x:v>-0.136</x:v>
      </x:c>
      <x:c r="F18" s="25" t="str">
        <x:v>独家IP</x:v>
      </x:c>
      <x:c r="G18" s="25" t="str">
        <x:v>AR2022</x:v>
      </x:c>
      <x:c r="H18" s="9" t="str"/>
    </x:row>
    <x:row r="19">
      <x:c r="A19" s="8" t="n">
        <x:v>2022</x:v>
      </x:c>
      <x:c r="B19" s="25" t="str">
        <x:v>HIRONO</x:v>
      </x:c>
      <x:c r="C19" s="29" t="n">
        <x:v>140.768</x:v>
      </x:c>
      <x:c r="D19" s="31" t="n">
        <x:v>0.031</x:v>
      </x:c>
      <x:c r="E19" s="31" t="n">
        <x:v>1.694</x:v>
      </x:c>
      <x:c r="F19" s="25" t="str">
        <x:v>自有IP</x:v>
      </x:c>
      <x:c r="G19" s="25" t="str">
        <x:v>AR2022</x:v>
      </x:c>
      <x:c r="H19" s="9" t="str"/>
    </x:row>
    <x:row r="20">
      <x:c r="A20" s="8" t="n">
        <x:v>2023</x:v>
      </x:c>
      <x:c r="B20" s="25" t="str">
        <x:v>SKULLPANDA</x:v>
      </x:c>
      <x:c r="C20" s="29" t="n">
        <x:v>1024.788</x:v>
      </x:c>
      <x:c r="D20" s="31" t="n">
        <x:v>0.163</x:v>
      </x:c>
      <x:c r="E20" s="31" t="n">
        <x:v>0.203</x:v>
      </x:c>
      <x:c r="F20" s="25" t="str">
        <x:v>艺术家IP</x:v>
      </x:c>
      <x:c r="G20" s="25" t="str">
        <x:v>AR2023</x:v>
      </x:c>
      <x:c r="H20" s="9" t="str"/>
    </x:row>
    <x:row r="21">
      <x:c r="A21" s="8" t="n">
        <x:v>2023</x:v>
      </x:c>
      <x:c r="B21" s="25" t="str">
        <x:v>MOLLY</x:v>
      </x:c>
      <x:c r="C21" s="29" t="n">
        <x:v>1020.305</x:v>
      </x:c>
      <x:c r="D21" s="31" t="n">
        <x:v>0.162</x:v>
      </x:c>
      <x:c r="E21" s="31" t="n">
        <x:v>0.272</x:v>
      </x:c>
      <x:c r="F21" s="25" t="str">
        <x:v>艺术家IP</x:v>
      </x:c>
      <x:c r="G21" s="25" t="str">
        <x:v>AR2023</x:v>
      </x:c>
      <x:c r="H21" s="9" t="str"/>
    </x:row>
    <x:row r="22">
      <x:c r="A22" s="8" t="n">
        <x:v>2023</x:v>
      </x:c>
      <x:c r="B22" s="25" t="str">
        <x:v>DIMOO</x:v>
      </x:c>
      <x:c r="C22" s="29" t="n">
        <x:v>737.666</x:v>
      </x:c>
      <x:c r="D22" s="31" t="n">
        <x:v>0.117</x:v>
      </x:c>
      <x:c r="E22" s="31" t="n">
        <x:v>0.276</x:v>
      </x:c>
      <x:c r="F22" s="25" t="str">
        <x:v>艺术家IP</x:v>
      </x:c>
      <x:c r="G22" s="25" t="str">
        <x:v>AR2023</x:v>
      </x:c>
      <x:c r="H22" s="9" t="str"/>
    </x:row>
    <x:row r="23">
      <x:c r="A23" s="8" t="n">
        <x:v>2023</x:v>
      </x:c>
      <x:c r="B23" s="25" t="str">
        <x:v>THE MONSTERS</x:v>
      </x:c>
      <x:c r="C23" s="29" t="n">
        <x:v>367.871</x:v>
      </x:c>
      <x:c r="D23" s="31" t="n">
        <x:v>0.058</x:v>
      </x:c>
      <x:c r="E23" s="31" t="n">
        <x:v>0.399</x:v>
      </x:c>
      <x:c r="F23" s="25" t="str">
        <x:v>艺术家IP</x:v>
      </x:c>
      <x:c r="G23" s="25" t="str">
        <x:v>AR2023</x:v>
      </x:c>
      <x:c r="H23" s="9" t="str"/>
    </x:row>
    <x:row r="24">
      <x:c r="A24" s="8" t="n">
        <x:v>2023</x:v>
      </x:c>
      <x:c r="B24" s="25" t="str">
        <x:v>HIRONO</x:v>
      </x:c>
      <x:c r="C24" s="29" t="n">
        <x:v>351.201</x:v>
      </x:c>
      <x:c r="D24" s="31" t="n">
        <x:v>0.056</x:v>
      </x:c>
      <x:c r="E24" s="31" t="n">
        <x:v>1.495</x:v>
      </x:c>
      <x:c r="F24" s="25" t="str">
        <x:v>艺术家IP</x:v>
      </x:c>
      <x:c r="G24" s="25" t="str">
        <x:v>AR2023</x:v>
      </x:c>
      <x:c r="H24" s="9" t="str"/>
    </x:row>
    <x:row r="25">
      <x:c r="A25" s="8" t="n">
        <x:v>2023</x:v>
      </x:c>
      <x:c r="B25" s="25" t="str">
        <x:v>CRYBABY</x:v>
      </x:c>
      <x:c r="C25" s="29" t="n">
        <x:v>71.149</x:v>
      </x:c>
      <x:c r="D25" s="31" t="n">
        <x:v>0.011</x:v>
      </x:c>
      <x:c r="E25" s="31"/>
      <x:c r="F25" s="25" t="str">
        <x:v>艺术家IP</x:v>
      </x:c>
      <x:c r="G25" s="25" t="str">
        <x:v>AR2024</x:v>
      </x:c>
      <x:c r="H25" s="9" t="str">
        <x:v>比较数</x:v>
      </x:c>
    </x:row>
    <x:row r="26">
      <x:c r="A26" s="8" t="n">
        <x:v>2024</x:v>
      </x:c>
      <x:c r="B26" s="25" t="str">
        <x:v>THE MONSTERS</x:v>
      </x:c>
      <x:c r="C26" s="29" t="n">
        <x:v>3040.664</x:v>
      </x:c>
      <x:c r="D26" s="31" t="n">
        <x:v>0.233</x:v>
      </x:c>
      <x:c r="E26" s="31" t="n">
        <x:v>7.266</x:v>
      </x:c>
      <x:c r="F26" s="25" t="str">
        <x:v>艺术家IP</x:v>
      </x:c>
      <x:c r="G26" s="25" t="str">
        <x:v>AR2024</x:v>
      </x:c>
      <x:c r="H26" s="9" t="str"/>
    </x:row>
    <x:row r="27">
      <x:c r="A27" s="8" t="n">
        <x:v>2024</x:v>
      </x:c>
      <x:c r="B27" s="25" t="str">
        <x:v>MOLLY</x:v>
      </x:c>
      <x:c r="C27" s="29" t="n">
        <x:v>2093.172</x:v>
      </x:c>
      <x:c r="D27" s="31" t="n">
        <x:v>0.161</x:v>
      </x:c>
      <x:c r="E27" s="31" t="n">
        <x:v>1.052</x:v>
      </x:c>
      <x:c r="F27" s="25" t="str">
        <x:v>艺术家IP</x:v>
      </x:c>
      <x:c r="G27" s="25" t="str">
        <x:v>AR2024</x:v>
      </x:c>
      <x:c r="H27" s="9" t="str"/>
    </x:row>
    <x:row r="28">
      <x:c r="A28" s="8" t="n">
        <x:v>2024</x:v>
      </x:c>
      <x:c r="B28" s="25" t="str">
        <x:v>SKULLPANDA</x:v>
      </x:c>
      <x:c r="C28" s="29" t="n">
        <x:v>1308.262</x:v>
      </x:c>
      <x:c r="D28" s="31" t="n">
        <x:v>0.1</x:v>
      </x:c>
      <x:c r="E28" s="31" t="n">
        <x:v>0.277</x:v>
      </x:c>
      <x:c r="F28" s="25" t="str">
        <x:v>艺术家IP</x:v>
      </x:c>
      <x:c r="G28" s="25" t="str">
        <x:v>AR2024</x:v>
      </x:c>
      <x:c r="H28" s="9" t="str"/>
    </x:row>
    <x:row r="29">
      <x:c r="A29" s="8" t="n">
        <x:v>2024</x:v>
      </x:c>
      <x:c r="B29" s="25" t="str">
        <x:v>CRYBABY</x:v>
      </x:c>
      <x:c r="C29" s="29" t="n">
        <x:v>1164.885</x:v>
      </x:c>
      <x:c r="D29" s="31" t="n">
        <x:v>0.089</x:v>
      </x:c>
      <x:c r="E29" s="31" t="n">
        <x:v>15.372</x:v>
      </x:c>
      <x:c r="F29" s="25" t="str">
        <x:v>艺术家IP</x:v>
      </x:c>
      <x:c r="G29" s="25" t="str">
        <x:v>AR2024</x:v>
      </x:c>
      <x:c r="H29" s="9" t="str"/>
    </x:row>
    <x:row r="30">
      <x:c r="A30" s="8" t="n">
        <x:v>2024</x:v>
      </x:c>
      <x:c r="B30" s="25" t="str">
        <x:v>DIMOO</x:v>
      </x:c>
      <x:c r="C30" s="29" t="n">
        <x:v>909.561</x:v>
      </x:c>
      <x:c r="D30" s="31" t="n">
        <x:v>0.07</x:v>
      </x:c>
      <x:c r="E30" s="31" t="n">
        <x:v>0.233</x:v>
      </x:c>
      <x:c r="F30" s="25" t="str">
        <x:v>艺术家IP</x:v>
      </x:c>
      <x:c r="G30" s="25" t="str">
        <x:v>AR2024</x:v>
      </x:c>
      <x:c r="H30" s="9" t="str"/>
    </x:row>
    <x:row r="31">
      <x:c r="A31" s="8" t="n">
        <x:v>2024</x:v>
      </x:c>
      <x:c r="B31" s="25" t="str">
        <x:v>HIRONO</x:v>
      </x:c>
      <x:c r="C31" s="29" t="n">
        <x:v>726.525</x:v>
      </x:c>
      <x:c r="D31" s="31" t="n">
        <x:v>0.056</x:v>
      </x:c>
      <x:c r="E31" s="31" t="n">
        <x:v>1.069</x:v>
      </x:c>
      <x:c r="F31" s="25" t="str">
        <x:v>艺术家IP</x:v>
      </x:c>
      <x:c r="G31" s="25" t="str">
        <x:v>AR2024</x:v>
      </x:c>
      <x:c r="H31" s="9" t="str"/>
    </x:row>
    <x:row r="32">
      <x:c r="A32" s="8" t="n">
        <x:v>2024</x:v>
      </x:c>
      <x:c r="B32" s="25" t="str">
        <x:v>Twinkle Twinkle</x:v>
      </x:c>
      <x:c r="C32" s="29" t="n">
        <x:v>120.788</x:v>
      </x:c>
      <x:c r="D32" s="31" t="n">
        <x:v>0.009</x:v>
      </x:c>
      <x:c r="E32" s="31"/>
      <x:c r="F32" s="25" t="str">
        <x:v>艺术家IP</x:v>
      </x:c>
      <x:c r="G32" s="25" t="str">
        <x:v>AR2025</x:v>
      </x:c>
      <x:c r="H32" s="9" t="str">
        <x:v>2025年报比较数</x:v>
      </x:c>
    </x:row>
    <x:row r="33">
      <x:c r="A33" s="8" t="n">
        <x:v>2025</x:v>
      </x:c>
      <x:c r="B33" s="25" t="str">
        <x:v>THE MONSTERS</x:v>
      </x:c>
      <x:c r="C33" s="29" t="n">
        <x:v>14161.064</x:v>
      </x:c>
      <x:c r="D33" s="31" t="n">
        <x:v>0.381</x:v>
      </x:c>
      <x:c r="E33" s="31" t="n">
        <x:v>3.657</x:v>
      </x:c>
      <x:c r="F33" s="25" t="str">
        <x:v>艺术家IP</x:v>
      </x:c>
      <x:c r="G33" s="25" t="str">
        <x:v>AR2025</x:v>
      </x:c>
      <x:c r="H33" s="9" t="str"/>
    </x:row>
    <x:row r="34">
      <x:c r="A34" s="8" t="n">
        <x:v>2025</x:v>
      </x:c>
      <x:c r="B34" s="25" t="str">
        <x:v>SKULLPANDA</x:v>
      </x:c>
      <x:c r="C34" s="29" t="n">
        <x:v>3539.542</x:v>
      </x:c>
      <x:c r="D34" s="31" t="n">
        <x:v>0.095</x:v>
      </x:c>
      <x:c r="E34" s="31" t="n">
        <x:v>1.705</x:v>
      </x:c>
      <x:c r="F34" s="25" t="str">
        <x:v>艺术家IP</x:v>
      </x:c>
      <x:c r="G34" s="25" t="str">
        <x:v>AR2025</x:v>
      </x:c>
      <x:c r="H34" s="9" t="str"/>
    </x:row>
    <x:row r="35">
      <x:c r="A35" s="8" t="n">
        <x:v>2025</x:v>
      </x:c>
      <x:c r="B35" s="25" t="str">
        <x:v>CRYBABY</x:v>
      </x:c>
      <x:c r="C35" s="29" t="n">
        <x:v>2929.006</x:v>
      </x:c>
      <x:c r="D35" s="31" t="n">
        <x:v>0.079</x:v>
      </x:c>
      <x:c r="E35" s="31" t="n">
        <x:v>1.514</x:v>
      </x:c>
      <x:c r="F35" s="25" t="str">
        <x:v>艺术家IP</x:v>
      </x:c>
      <x:c r="G35" s="25" t="str">
        <x:v>AR2025</x:v>
      </x:c>
      <x:c r="H35" s="9" t="str"/>
    </x:row>
    <x:row r="36">
      <x:c r="A36" s="8" t="n">
        <x:v>2025</x:v>
      </x:c>
      <x:c r="B36" s="25" t="str">
        <x:v>MOLLY</x:v>
      </x:c>
      <x:c r="C36" s="29" t="n">
        <x:v>2897.084</x:v>
      </x:c>
      <x:c r="D36" s="31" t="n">
        <x:v>0.078</x:v>
      </x:c>
      <x:c r="E36" s="31" t="n">
        <x:v>0.384</x:v>
      </x:c>
      <x:c r="F36" s="25" t="str">
        <x:v>艺术家IP</x:v>
      </x:c>
      <x:c r="G36" s="25" t="str">
        <x:v>AR2025</x:v>
      </x:c>
      <x:c r="H36" s="9" t="str"/>
    </x:row>
    <x:row r="37">
      <x:c r="A37" s="8" t="n">
        <x:v>2025</x:v>
      </x:c>
      <x:c r="B37" s="25" t="str">
        <x:v>DIMOO</x:v>
      </x:c>
      <x:c r="C37" s="29" t="n">
        <x:v>2776.695</x:v>
      </x:c>
      <x:c r="D37" s="31" t="n">
        <x:v>0.075</x:v>
      </x:c>
      <x:c r="E37" s="31" t="n">
        <x:v>2.053</x:v>
      </x:c>
      <x:c r="F37" s="25" t="str">
        <x:v>艺术家IP</x:v>
      </x:c>
      <x:c r="G37" s="25" t="str">
        <x:v>AR2025</x:v>
      </x:c>
      <x:c r="H37" s="9" t="str"/>
    </x:row>
    <x:row r="38">
      <x:c r="A38" s="8" t="n">
        <x:v>2025</x:v>
      </x:c>
      <x:c r="B38" s="25" t="str">
        <x:v>Twinkle Twinkle</x:v>
      </x:c>
      <x:c r="C38" s="29" t="n">
        <x:v>2055.58</x:v>
      </x:c>
      <x:c r="D38" s="31" t="n">
        <x:v>0.055</x:v>
      </x:c>
      <x:c r="E38" s="31" t="n">
        <x:v>16.018</x:v>
      </x:c>
      <x:c r="F38" s="25" t="str">
        <x:v>艺术家IP</x:v>
      </x:c>
      <x:c r="G38" s="25" t="str">
        <x:v>AR2025</x:v>
      </x:c>
      <x:c r="H38" s="9" t="str"/>
    </x:row>
    <x:row r="39">
      <x:c r="A39" s="8" t="n">
        <x:v>2025</x:v>
      </x:c>
      <x:c r="B39" s="25" t="str">
        <x:v>HIRONO</x:v>
      </x:c>
      <x:c r="C39" s="29" t="n">
        <x:v>1735.235</x:v>
      </x:c>
      <x:c r="D39" s="31" t="n">
        <x:v>0.047</x:v>
      </x:c>
      <x:c r="E39" s="31" t="n">
        <x:v>1.388</x:v>
      </x:c>
      <x:c r="F39" s="25" t="str">
        <x:v>艺术家IP</x:v>
      </x:c>
      <x:c r="G39" s="25" t="str">
        <x:v>AR2025</x:v>
      </x:c>
      <x:c r="H39" s="9" t="str"/>
    </x:row>
    <x:row r="40">
      <x:c r="A40" s="8" t="str">
        <x:v>2025H1</x:v>
      </x:c>
      <x:c r="B40" s="25" t="str">
        <x:v>THE MONSTERS</x:v>
      </x:c>
      <x:c r="C40" s="29" t="n">
        <x:v>4814.017</x:v>
      </x:c>
      <x:c r="D40" s="31" t="n">
        <x:v>0.347</x:v>
      </x:c>
      <x:c r="E40" s="31"/>
      <x:c r="F40" s="25" t="str">
        <x:v>艺术家IP</x:v>
      </x:c>
      <x:c r="G40" s="25" t="str">
        <x:v>H12026</x:v>
      </x:c>
      <x:c r="H40" s="9" t="str"/>
    </x:row>
    <x:row r="41">
      <x:c r="A41" s="8" t="str">
        <x:v>2025H1</x:v>
      </x:c>
      <x:c r="B41" s="25" t="str">
        <x:v>Twinkle Twinkle</x:v>
      </x:c>
      <x:c r="C41" s="29" t="n">
        <x:v>389.363</x:v>
      </x:c>
      <x:c r="D41" s="31" t="n">
        <x:v>0.028</x:v>
      </x:c>
      <x:c r="E41" s="31"/>
      <x:c r="F41" s="25" t="str">
        <x:v>艺术家IP</x:v>
      </x:c>
      <x:c r="G41" s="25" t="str">
        <x:v>H12026</x:v>
      </x:c>
      <x:c r="H41" s="9" t="str"/>
    </x:row>
    <x:row r="42">
      <x:c r="A42" s="8" t="str">
        <x:v>2025H1</x:v>
      </x:c>
      <x:c r="B42" s="25" t="str">
        <x:v>MOLLY</x:v>
      </x:c>
      <x:c r="C42" s="29" t="n">
        <x:v>1357.248</x:v>
      </x:c>
      <x:c r="D42" s="31" t="n">
        <x:v>0.098</x:v>
      </x:c>
      <x:c r="E42" s="31"/>
      <x:c r="F42" s="25" t="str">
        <x:v>艺术家IP</x:v>
      </x:c>
      <x:c r="G42" s="25" t="str">
        <x:v>H12026</x:v>
      </x:c>
      <x:c r="H42" s="9" t="str"/>
    </x:row>
    <x:row r="43">
      <x:c r="A43" s="8" t="str">
        <x:v>2025H1</x:v>
      </x:c>
      <x:c r="B43" s="25" t="str">
        <x:v>SKULLPANDA</x:v>
      </x:c>
      <x:c r="C43" s="29" t="n">
        <x:v>1220.504</x:v>
      </x:c>
      <x:c r="D43" s="31" t="n">
        <x:v>0.088</x:v>
      </x:c>
      <x:c r="E43" s="31"/>
      <x:c r="F43" s="25" t="str">
        <x:v>艺术家IP</x:v>
      </x:c>
      <x:c r="G43" s="25" t="str">
        <x:v>H12026</x:v>
      </x:c>
      <x:c r="H43" s="9" t="str"/>
    </x:row>
    <x:row r="44">
      <x:c r="A44" s="8" t="str">
        <x:v>2025H1</x:v>
      </x:c>
      <x:c r="B44" s="25" t="str">
        <x:v>CRYBABY</x:v>
      </x:c>
      <x:c r="C44" s="29" t="n">
        <x:v>1218.17</x:v>
      </x:c>
      <x:c r="D44" s="31" t="n">
        <x:v>0.088</x:v>
      </x:c>
      <x:c r="E44" s="31"/>
      <x:c r="F44" s="25" t="str">
        <x:v>艺术家IP</x:v>
      </x:c>
      <x:c r="G44" s="25" t="str">
        <x:v>H12026</x:v>
      </x:c>
      <x:c r="H44" s="9" t="str"/>
    </x:row>
    <x:row r="45">
      <x:c r="A45" s="8" t="str">
        <x:v>2025H1</x:v>
      </x:c>
      <x:c r="B45" s="25" t="str">
        <x:v>DIMOO</x:v>
      </x:c>
      <x:c r="C45" s="29" t="n">
        <x:v>1105.135</x:v>
      </x:c>
      <x:c r="D45" s="31" t="n">
        <x:v>0.08</x:v>
      </x:c>
      <x:c r="E45" s="31"/>
      <x:c r="F45" s="25" t="str">
        <x:v>艺术家IP</x:v>
      </x:c>
      <x:c r="G45" s="25" t="str">
        <x:v>H12026</x:v>
      </x:c>
      <x:c r="H45" s="9" t="str"/>
    </x:row>
    <x:row r="46">
      <x:c r="A46" s="8" t="str">
        <x:v>2026H1</x:v>
      </x:c>
      <x:c r="B46" s="25" t="str">
        <x:v>THE MONSTERS</x:v>
      </x:c>
      <x:c r="C46" s="29" t="n">
        <x:v>4454.361</x:v>
      </x:c>
      <x:c r="D46" s="31" t="n">
        <x:v>0.26</x:v>
      </x:c>
      <x:c r="E46" s="31" t="n">
        <x:v>-0.075</x:v>
      </x:c>
      <x:c r="F46" s="25" t="str">
        <x:v>艺术家IP</x:v>
      </x:c>
      <x:c r="G46" s="25" t="str">
        <x:v>H12026</x:v>
      </x:c>
      <x:c r="H46" s="9" t="str"/>
    </x:row>
    <x:row r="47">
      <x:c r="A47" s="8" t="str">
        <x:v>2026H1</x:v>
      </x:c>
      <x:c r="B47" s="25" t="str">
        <x:v>Twinkle Twinkle</x:v>
      </x:c>
      <x:c r="C47" s="29" t="n">
        <x:v>2649.969</x:v>
      </x:c>
      <x:c r="D47" s="31" t="n">
        <x:v>0.154</x:v>
      </x:c>
      <x:c r="E47" s="31" t="n">
        <x:v>5.806</x:v>
      </x:c>
      <x:c r="F47" s="25" t="str">
        <x:v>艺术家IP</x:v>
      </x:c>
      <x:c r="G47" s="25" t="str">
        <x:v>H12026</x:v>
      </x:c>
      <x:c r="H47" s="9" t="str"/>
    </x:row>
    <x:row r="48">
      <x:c r="A48" s="8" t="str">
        <x:v>2026H1</x:v>
      </x:c>
      <x:c r="B48" s="25" t="str">
        <x:v>CRYBABY</x:v>
      </x:c>
      <x:c r="C48" s="29" t="n">
        <x:v>1632.57</x:v>
      </x:c>
      <x:c r="D48" s="31" t="n">
        <x:v>0.095</x:v>
      </x:c>
      <x:c r="E48" s="31" t="n">
        <x:v>0.34</x:v>
      </x:c>
      <x:c r="F48" s="25" t="str">
        <x:v>艺术家IP</x:v>
      </x:c>
      <x:c r="G48" s="25" t="str">
        <x:v>H12026</x:v>
      </x:c>
      <x:c r="H48" s="9" t="str"/>
    </x:row>
    <x:row r="49">
      <x:c r="A49" s="8" t="str">
        <x:v>2026H1</x:v>
      </x:c>
      <x:c r="B49" s="25" t="str">
        <x:v>DIMOO</x:v>
      </x:c>
      <x:c r="C49" s="29" t="n">
        <x:v>1619.217</x:v>
      </x:c>
      <x:c r="D49" s="31" t="n">
        <x:v>0.094</x:v>
      </x:c>
      <x:c r="E49" s="31" t="n">
        <x:v>0.465</x:v>
      </x:c>
      <x:c r="F49" s="25" t="str">
        <x:v>艺术家IP</x:v>
      </x:c>
      <x:c r="G49" s="25" t="str">
        <x:v>H12026</x:v>
      </x:c>
      <x:c r="H49" s="9" t="str"/>
    </x:row>
    <x:row r="50">
      <x:c r="A50" s="8" t="str">
        <x:v>2026H1</x:v>
      </x:c>
      <x:c r="B50" s="25" t="str">
        <x:v>SKULLPANDA</x:v>
      </x:c>
      <x:c r="C50" s="29" t="n">
        <x:v>1551.211</x:v>
      </x:c>
      <x:c r="D50" s="31" t="n">
        <x:v>0.09</x:v>
      </x:c>
      <x:c r="E50" s="31" t="n">
        <x:v>0.271</x:v>
      </x:c>
      <x:c r="F50" s="25" t="str">
        <x:v>艺术家IP</x:v>
      </x:c>
      <x:c r="G50" s="25" t="str">
        <x:v>H12026</x:v>
      </x:c>
      <x:c r="H50" s="9" t="str"/>
    </x:row>
    <x:row r="51">
      <x:c r="A51" s="8" t="str">
        <x:v>2026H1</x:v>
      </x:c>
      <x:c r="B51" s="25" t="str">
        <x:v>HIRONO</x:v>
      </x:c>
      <x:c r="C51" s="29" t="n">
        <x:v>1008.855</x:v>
      </x:c>
      <x:c r="D51" s="31" t="n">
        <x:v>0.059</x:v>
      </x:c>
      <x:c r="E51" s="31" t="n">
        <x:v>0.385</x:v>
      </x:c>
      <x:c r="F51" s="25" t="str">
        <x:v>艺术家IP</x:v>
      </x:c>
      <x:c r="G51" s="25" t="str">
        <x:v>H12026</x:v>
      </x:c>
      <x:c r="H51" s="9" t="str"/>
    </x:row>
    <x:row r="52">
      <x:c r="A52" s="10" t="str">
        <x:v>2026H1</x:v>
      </x:c>
      <x:c r="B52" s="26" t="str">
        <x:v>MOLLY</x:v>
      </x:c>
      <x:c r="C52" s="30" t="n">
        <x:v>900.631</x:v>
      </x:c>
      <x:c r="D52" s="32" t="n">
        <x:v>0.053</x:v>
      </x:c>
      <x:c r="E52" s="32" t="n">
        <x:v>-0.336</x:v>
      </x:c>
      <x:c r="F52" s="26" t="str">
        <x:v>艺术家IP</x:v>
      </x:c>
      <x:c r="G52" s="26" t="str">
        <x:v>H12026</x:v>
      </x:c>
      <x:c r="H52" s="11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14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30" customHeight="1">
      <x:c r="A1" s="2" t="str">
        <x:v>门店网络与粗略店效</x:v>
      </x:c>
    </x:row>
    <x:row r="2" ht="30" customHeight="1">
      <x:c r="A2" s="5" t="str">
        <x:v>“收入/期末门店数”仅为扩张期粗略代理，不是同店销售；新店开业时间会显著影响该指标。</x:v>
      </x:c>
    </x:row>
    <x:row r="4" ht="28" customHeight="1">
      <x:c r="A4" s="17" t="str">
        <x:v>期间</x:v>
      </x:c>
      <x:c r="B4" s="17" t="str">
        <x:v>地区</x:v>
      </x:c>
      <x:c r="C4" s="17" t="str">
        <x:v>零售店数</x:v>
      </x:c>
      <x:c r="D4" s="17" t="str">
        <x:v>零售店收入</x:v>
      </x:c>
      <x:c r="E4" s="17" t="str">
        <x:v>收入/期末店数</x:v>
      </x:c>
      <x:c r="F4" s="17" t="str">
        <x:v>店数同比</x:v>
      </x:c>
      <x:c r="G4" s="17" t="str">
        <x:v>零售收入同比</x:v>
      </x:c>
      <x:c r="H4" s="17" t="str">
        <x:v>粗略店效同比</x:v>
      </x:c>
      <x:c r="I4" s="17" t="str">
        <x:v>机器人商店数</x:v>
      </x:c>
      <x:c r="J4" s="17" t="str">
        <x:v>来源ID</x:v>
      </x:c>
    </x:row>
    <x:row r="5">
      <x:c r="A5" s="8" t="n">
        <x:v>2020</x:v>
      </x:c>
      <x:c r="B5" s="25" t="str">
        <x:v>中国大陆</x:v>
      </x:c>
      <x:c r="C5" s="25" t="n">
        <x:v>187</x:v>
      </x:c>
      <x:c r="D5" s="29" t="n">
        <x:v>1002.054</x:v>
      </x:c>
      <x:c r="E5" s="29" t="n">
        <x:f>IFERROR(D5/C5,"")</x:f>
        <x:v>5.3585775401069515</x:v>
      </x:c>
      <x:c r="F5" s="31"/>
      <x:c r="G5" s="31"/>
      <x:c r="H5" s="31" t="str">
        <x:f>IF(F5="","",(1+G5)/(1+F5)-1)</x:f>
      </x:c>
      <x:c r="I5" s="25" t="n">
        <x:v>1351</x:v>
      </x:c>
      <x:c r="J5" s="9" t="str">
        <x:v>AR2020</x:v>
      </x:c>
    </x:row>
    <x:row r="6">
      <x:c r="A6" s="8" t="n">
        <x:v>2021</x:v>
      </x:c>
      <x:c r="B6" s="25" t="str">
        <x:v>中国大陆</x:v>
      </x:c>
      <x:c r="C6" s="25" t="n">
        <x:v>288</x:v>
      </x:c>
      <x:c r="D6" s="29" t="n">
        <x:v>1670.174</x:v>
      </x:c>
      <x:c r="E6" s="29" t="n">
        <x:f>IFERROR(D6/C6,"")</x:f>
        <x:v>5.799215277777778</x:v>
      </x:c>
      <x:c r="F6" s="31" t="n">
        <x:v>0.54</x:v>
      </x:c>
      <x:c r="G6" s="31" t="n">
        <x:v>0.667</x:v>
      </x:c>
      <x:c r="H6" s="31" t="n">
        <x:f>IF(F6="","",(1+G6)/(1+F6)-1)</x:f>
        <x:v>0.08246753246753236</x:v>
      </x:c>
      <x:c r="I6" s="25" t="n">
        <x:v>1861</x:v>
      </x:c>
      <x:c r="J6" s="9" t="str">
        <x:v>AR2022</x:v>
      </x:c>
    </x:row>
    <x:row r="7">
      <x:c r="A7" s="8" t="n">
        <x:v>2021</x:v>
      </x:c>
      <x:c r="B7" s="25" t="str">
        <x:v>港澳台及海外</x:v>
      </x:c>
      <x:c r="C7" s="25" t="n">
        <x:v>7</x:v>
      </x:c>
      <x:c r="D7" s="29" t="n">
        <x:v>3.212</x:v>
      </x:c>
      <x:c r="E7" s="29" t="n">
        <x:f>IFERROR(D7/C7,"")</x:f>
        <x:v>0.4588571428571429</x:v>
      </x:c>
      <x:c r="F7" s="31"/>
      <x:c r="G7" s="31"/>
      <x:c r="H7" s="31" t="str">
        <x:f>IF(F7="","",(1+G7)/(1+F7)-1)</x:f>
      </x:c>
      <x:c r="I7" s="25" t="n">
        <x:v>9</x:v>
      </x:c>
      <x:c r="J7" s="9" t="str">
        <x:v>AR2022</x:v>
      </x:c>
    </x:row>
    <x:row r="8">
      <x:c r="A8" s="8" t="n">
        <x:v>2022</x:v>
      </x:c>
      <x:c r="B8" s="25" t="str">
        <x:v>中国大陆</x:v>
      </x:c>
      <x:c r="C8" s="25" t="n">
        <x:v>329</x:v>
      </x:c>
      <x:c r="D8" s="29" t="n">
        <x:v>1691.112</x:v>
      </x:c>
      <x:c r="E8" s="29" t="n">
        <x:f>IFERROR(D8/C8,"")</x:f>
        <x:v>5.140158054711247</x:v>
      </x:c>
      <x:c r="F8" s="31" t="n">
        <x:v>0.142</x:v>
      </x:c>
      <x:c r="G8" s="31" t="n">
        <x:v>0.013</x:v>
      </x:c>
      <x:c r="H8" s="31" t="n">
        <x:f>IF(F8="","",(1+G8)/(1+F8)-1)</x:f>
        <x:v>-0.11295971978984243</x:v>
      </x:c>
      <x:c r="I8" s="25" t="n">
        <x:v>2067</x:v>
      </x:c>
      <x:c r="J8" s="9" t="str">
        <x:v>AR2022</x:v>
      </x:c>
    </x:row>
    <x:row r="9">
      <x:c r="A9" s="8" t="n">
        <x:v>2022</x:v>
      </x:c>
      <x:c r="B9" s="25" t="str">
        <x:v>港澳台及海外</x:v>
      </x:c>
      <x:c r="C9" s="25" t="n">
        <x:v>28</x:v>
      </x:c>
      <x:c r="D9" s="29" t="n">
        <x:v>135.559</x:v>
      </x:c>
      <x:c r="E9" s="29" t="n">
        <x:f>IFERROR(D9/C9,"")</x:f>
        <x:v>4.841392857142857</x:v>
      </x:c>
      <x:c r="F9" s="31" t="n">
        <x:v>3</x:v>
      </x:c>
      <x:c r="G9" s="31" t="n">
        <x:v>41.204</x:v>
      </x:c>
      <x:c r="H9" s="31" t="n">
        <x:f>IF(F9="","",(1+G9)/(1+F9)-1)</x:f>
        <x:v>9.551</x:v>
      </x:c>
      <x:c r="I9" s="25" t="n">
        <x:v>49</x:v>
      </x:c>
      <x:c r="J9" s="9" t="str">
        <x:v>AR2022</x:v>
      </x:c>
    </x:row>
    <x:row r="10">
      <x:c r="A10" s="8" t="n">
        <x:v>2023</x:v>
      </x:c>
      <x:c r="B10" s="25" t="str">
        <x:v>中国大陆</x:v>
      </x:c>
      <x:c r="C10" s="25" t="n">
        <x:v>363</x:v>
      </x:c>
      <x:c r="D10" s="29" t="n">
        <x:v>2479.243</x:v>
      </x:c>
      <x:c r="E10" s="29" t="n">
        <x:f>IFERROR(D10/C10,"")</x:f>
        <x:v>6.829870523415978</x:v>
      </x:c>
      <x:c r="F10" s="31" t="n">
        <x:v>0.103</x:v>
      </x:c>
      <x:c r="G10" s="31" t="n">
        <x:v>0.466</x:v>
      </x:c>
      <x:c r="H10" s="31" t="n">
        <x:f>IF(F10="","",(1+G10)/(1+F10)-1)</x:f>
        <x:v>0.32910244786944687</x:v>
      </x:c>
      <x:c r="I10" s="25" t="n">
        <x:v>2190</x:v>
      </x:c>
      <x:c r="J10" s="9" t="str">
        <x:v>AR2023</x:v>
      </x:c>
    </x:row>
    <x:row r="11">
      <x:c r="A11" s="8" t="n">
        <x:v>2023</x:v>
      </x:c>
      <x:c r="B11" s="25" t="str">
        <x:v>港澳台及海外</x:v>
      </x:c>
      <x:c r="C11" s="25" t="n">
        <x:v>70</x:v>
      </x:c>
      <x:c r="D11" s="29" t="n">
        <x:v>582.909</x:v>
      </x:c>
      <x:c r="E11" s="29" t="n">
        <x:f>IFERROR(D11/C11,"")</x:f>
        <x:v>8.327271428571429</x:v>
      </x:c>
      <x:c r="F11" s="31" t="n">
        <x:v>1.5</x:v>
      </x:c>
      <x:c r="G11" s="31" t="n">
        <x:v>3.3</x:v>
      </x:c>
      <x:c r="H11" s="31" t="n">
        <x:f>IF(F11="","",(1+G11)/(1+F11)-1)</x:f>
        <x:v>0.72</x:v>
      </x:c>
      <x:c r="I11" s="25" t="n">
        <x:v>99</x:v>
      </x:c>
      <x:c r="J11" s="9" t="str">
        <x:v>AR2023</x:v>
      </x:c>
    </x:row>
    <x:row r="12">
      <x:c r="A12" s="8" t="n">
        <x:v>2024</x:v>
      </x:c>
      <x:c r="B12" s="25" t="str">
        <x:v>中国大陆</x:v>
      </x:c>
      <x:c r="C12" s="25" t="n">
        <x:v>401</x:v>
      </x:c>
      <x:c r="D12" s="29" t="n">
        <x:v>3827.861</x:v>
      </x:c>
      <x:c r="E12" s="29" t="n">
        <x:f>IFERROR(D12/C12,"")</x:f>
        <x:v>9.545788029925188</x:v>
      </x:c>
      <x:c r="F12" s="31" t="n">
        <x:v>0.105</x:v>
      </x:c>
      <x:c r="G12" s="31" t="n">
        <x:v>0.439</x:v>
      </x:c>
      <x:c r="H12" s="31" t="n">
        <x:f>IF(F12="","",(1+G12)/(1+F12)-1)</x:f>
        <x:v>0.30226244343891406</x:v>
      </x:c>
      <x:c r="I12" s="25" t="n">
        <x:v>2300</x:v>
      </x:c>
      <x:c r="J12" s="9" t="str">
        <x:v>AR2024</x:v>
      </x:c>
    </x:row>
    <x:row r="13">
      <x:c r="A13" s="8" t="n">
        <x:v>2024</x:v>
      </x:c>
      <x:c r="B13" s="25" t="str">
        <x:v>港澳台</x:v>
      </x:c>
      <x:c r="C13" s="25" t="n">
        <x:v>30</x:v>
      </x:c>
      <x:c r="D13" s="29" t="n">
        <x:v>772.937</x:v>
      </x:c>
      <x:c r="E13" s="29" t="n">
        <x:f>IFERROR(D13/C13,"")</x:f>
        <x:v>25.764566666666667</x:v>
      </x:c>
      <x:c r="F13" s="31"/>
      <x:c r="G13" s="31"/>
      <x:c r="H13" s="31" t="str">
        <x:f>IF(F13="","",(1+G13)/(1+F13)-1)</x:f>
      </x:c>
      <x:c r="I13" s="25" t="n">
        <x:v>39</x:v>
      </x:c>
      <x:c r="J13" s="9" t="str">
        <x:v>AR2025</x:v>
      </x:c>
    </x:row>
    <x:row r="14">
      <x:c r="A14" s="8" t="n">
        <x:v>2024</x:v>
      </x:c>
      <x:c r="B14" s="25" t="str">
        <x:v>亚太</x:v>
      </x:c>
      <x:c r="C14" s="25" t="n">
        <x:v>54</x:v>
      </x:c>
      <x:c r="D14" s="29" t="n">
        <x:v>1667.85</x:v>
      </x:c>
      <x:c r="E14" s="29" t="n">
        <x:f>IFERROR(D14/C14,"")</x:f>
        <x:v>30.88611111111111</x:v>
      </x:c>
      <x:c r="F14" s="31"/>
      <x:c r="G14" s="31"/>
      <x:c r="H14" s="31" t="str">
        <x:f>IF(F14="","",(1+G14)/(1+F14)-1)</x:f>
      </x:c>
      <x:c r="I14" s="25"/>
      <x:c r="J14" s="9" t="str">
        <x:v>AR2025</x:v>
      </x:c>
    </x:row>
    <x:row r="15">
      <x:c r="A15" s="8" t="n">
        <x:v>2024</x:v>
      </x:c>
      <x:c r="B15" s="25" t="str">
        <x:v>美洲</x:v>
      </x:c>
      <x:c r="C15" s="25" t="n">
        <x:v>22</x:v>
      </x:c>
      <x:c r="D15" s="29" t="n">
        <x:v>341.148</x:v>
      </x:c>
      <x:c r="E15" s="29" t="n">
        <x:f>IFERROR(D15/C15,"")</x:f>
        <x:v>15.506727272727273</x:v>
      </x:c>
      <x:c r="F15" s="31"/>
      <x:c r="G15" s="31"/>
      <x:c r="H15" s="31" t="str">
        <x:f>IF(F15="","",(1+G15)/(1+F15)-1)</x:f>
      </x:c>
      <x:c r="I15" s="25"/>
      <x:c r="J15" s="9" t="str">
        <x:v>AR2025</x:v>
      </x:c>
    </x:row>
    <x:row r="16">
      <x:c r="A16" s="8" t="n">
        <x:v>2024</x:v>
      </x:c>
      <x:c r="B16" s="25" t="str">
        <x:v>欧洲及其他</x:v>
      </x:c>
      <x:c r="C16" s="25" t="n">
        <x:v>14</x:v>
      </x:c>
      <x:c r="D16" s="29" t="n">
        <x:v>157.065</x:v>
      </x:c>
      <x:c r="E16" s="29" t="n">
        <x:f>IFERROR(D16/C16,"")</x:f>
        <x:v>11.218928571428572</x:v>
      </x:c>
      <x:c r="F16" s="31"/>
      <x:c r="G16" s="31"/>
      <x:c r="H16" s="31" t="str">
        <x:f>IF(F16="","",(1+G16)/(1+F16)-1)</x:f>
      </x:c>
      <x:c r="I16" s="25"/>
      <x:c r="J16" s="9" t="str">
        <x:v>AR2025</x:v>
      </x:c>
    </x:row>
    <x:row r="17">
      <x:c r="A17" s="8" t="n">
        <x:v>2025</x:v>
      </x:c>
      <x:c r="B17" s="25" t="str">
        <x:v>中国大陆</x:v>
      </x:c>
      <x:c r="C17" s="25" t="n">
        <x:v>410</x:v>
      </x:c>
      <x:c r="D17" s="29" t="n">
        <x:v>8502.705</x:v>
      </x:c>
      <x:c r="E17" s="29" t="n">
        <x:f>IFERROR(D17/C17,"")</x:f>
        <x:v>20.73830487804878</x:v>
      </x:c>
      <x:c r="F17" s="31" t="n">
        <x:v>0.022</x:v>
      </x:c>
      <x:c r="G17" s="31" t="n">
        <x:v>1.221</x:v>
      </x:c>
      <x:c r="H17" s="31" t="n">
        <x:f>IF(F17="","",(1+G17)/(1+F17)-1)</x:f>
        <x:v>1.1731898238747553</x:v>
      </x:c>
      <x:c r="I17" s="25" t="n">
        <x:v>2350</x:v>
      </x:c>
      <x:c r="J17" s="9" t="str">
        <x:v>AR2025</x:v>
      </x:c>
    </x:row>
    <x:row r="18">
      <x:c r="A18" s="8" t="n">
        <x:v>2025</x:v>
      </x:c>
      <x:c r="B18" s="25" t="str">
        <x:v>港澳台</x:v>
      </x:c>
      <x:c r="C18" s="25" t="n">
        <x:v>35</x:v>
      </x:c>
      <x:c r="D18" s="29" t="n">
        <x:v>1572.727</x:v>
      </x:c>
      <x:c r="E18" s="29" t="n">
        <x:f>IFERROR(D18/C18,"")</x:f>
        <x:v>44.93505714285715</x:v>
      </x:c>
      <x:c r="F18" s="31" t="n">
        <x:v>0.167</x:v>
      </x:c>
      <x:c r="G18" s="31" t="n">
        <x:v>1.035</x:v>
      </x:c>
      <x:c r="H18" s="31" t="n">
        <x:f>IF(F18="","",(1+G18)/(1+F18)-1)</x:f>
        <x:v>0.7437874892887748</x:v>
      </x:c>
      <x:c r="I18" s="25" t="n">
        <x:v>46</x:v>
      </x:c>
      <x:c r="J18" s="9" t="str">
        <x:v>AR2025</x:v>
      </x:c>
    </x:row>
    <x:row r="19">
      <x:c r="A19" s="8" t="n">
        <x:v>2025</x:v>
      </x:c>
      <x:c r="B19" s="25" t="str">
        <x:v>亚太</x:v>
      </x:c>
      <x:c r="C19" s="25" t="n">
        <x:v>85</x:v>
      </x:c>
      <x:c r="D19" s="29" t="n">
        <x:v>4318.886</x:v>
      </x:c>
      <x:c r="E19" s="29" t="n">
        <x:f>IFERROR(D19/C19,"")</x:f>
        <x:v>50.81042352941177</x:v>
      </x:c>
      <x:c r="F19" s="31" t="n">
        <x:v>0.574</x:v>
      </x:c>
      <x:c r="G19" s="31" t="n">
        <x:v>1.589</x:v>
      </x:c>
      <x:c r="H19" s="31" t="n">
        <x:f>IF(F19="","",(1+G19)/(1+F19)-1)</x:f>
        <x:v>0.6448538754764932</x:v>
      </x:c>
      <x:c r="I19" s="25"/>
      <x:c r="J19" s="9" t="str">
        <x:v>AR2025</x:v>
      </x:c>
    </x:row>
    <x:row r="20">
      <x:c r="A20" s="8" t="n">
        <x:v>2025</x:v>
      </x:c>
      <x:c r="B20" s="25" t="str">
        <x:v>美洲</x:v>
      </x:c>
      <x:c r="C20" s="25" t="n">
        <x:v>64</x:v>
      </x:c>
      <x:c r="D20" s="29" t="n">
        <x:v>2003.799</x:v>
      </x:c>
      <x:c r="E20" s="29" t="n">
        <x:f>IFERROR(D20/C20,"")</x:f>
        <x:v>31.309359375</x:v>
      </x:c>
      <x:c r="F20" s="31" t="n">
        <x:v>1.909</x:v>
      </x:c>
      <x:c r="G20" s="31" t="n">
        <x:v>4.874</x:v>
      </x:c>
      <x:c r="H20" s="31" t="n">
        <x:f>IF(F20="","",(1+G20)/(1+F20)-1)</x:f>
        <x:v>1.0192506015812994</x:v>
      </x:c>
      <x:c r="I20" s="25"/>
      <x:c r="J20" s="9" t="str">
        <x:v>AR2025</x:v>
      </x:c>
    </x:row>
    <x:row r="21">
      <x:c r="A21" s="8" t="n">
        <x:v>2025</x:v>
      </x:c>
      <x:c r="B21" s="25" t="str">
        <x:v>欧洲及其他</x:v>
      </x:c>
      <x:c r="C21" s="25" t="n">
        <x:v>36</x:v>
      </x:c>
      <x:c r="D21" s="29" t="n">
        <x:v>856.209</x:v>
      </x:c>
      <x:c r="E21" s="29" t="n">
        <x:f>IFERROR(D21/C21,"")</x:f>
        <x:v>23.783583333333333</x:v>
      </x:c>
      <x:c r="F21" s="31" t="n">
        <x:v>1.571</x:v>
      </x:c>
      <x:c r="G21" s="31" t="n">
        <x:v>4.451</x:v>
      </x:c>
      <x:c r="H21" s="31" t="n">
        <x:f>IF(F21="","",(1+G21)/(1+F21)-1)</x:f>
        <x:v>1.1201866977829638</x:v>
      </x:c>
      <x:c r="I21" s="25"/>
      <x:c r="J21" s="9" t="str">
        <x:v>AR2025</x:v>
      </x:c>
    </x:row>
    <x:row r="22">
      <x:c r="A22" s="8" t="str">
        <x:v>2025H1</x:v>
      </x:c>
      <x:c r="B22" s="25" t="str">
        <x:v>PRC</x:v>
      </x:c>
      <x:c r="C22" s="25" t="n">
        <x:v>443</x:v>
      </x:c>
      <x:c r="D22" s="29" t="n">
        <x:v>4405.948</x:v>
      </x:c>
      <x:c r="E22" s="29" t="n">
        <x:f>IFERROR(D22/C22,"")</x:f>
        <x:v>9.945706546275396</x:v>
      </x:c>
      <x:c r="F22" s="31"/>
      <x:c r="G22" s="31"/>
      <x:c r="H22" s="31" t="str">
        <x:f>IF(F22="","",(1+G22)/(1+F22)-1)</x:f>
      </x:c>
      <x:c r="I22" s="25" t="n">
        <x:v>2437</x:v>
      </x:c>
      <x:c r="J22" s="9" t="str">
        <x:v>H12026</x:v>
      </x:c>
    </x:row>
    <x:row r="23">
      <x:c r="A23" s="8" t="str">
        <x:v>2025H1</x:v>
      </x:c>
      <x:c r="B23" s="25" t="str">
        <x:v>亚太</x:v>
      </x:c>
      <x:c r="C23" s="25" t="n">
        <x:v>69</x:v>
      </x:c>
      <x:c r="D23" s="29" t="n">
        <x:v>1492.991</x:v>
      </x:c>
      <x:c r="E23" s="29" t="n">
        <x:f>IFERROR(D23/C23,"")</x:f>
        <x:v>21.63755072463768</x:v>
      </x:c>
      <x:c r="F23" s="31"/>
      <x:c r="G23" s="31"/>
      <x:c r="H23" s="31" t="str">
        <x:f>IF(F23="","",(1+G23)/(1+F23)-1)</x:f>
      </x:c>
      <x:c r="I23" s="25"/>
      <x:c r="J23" s="9" t="str">
        <x:v>H12026</x:v>
      </x:c>
    </x:row>
    <x:row r="24">
      <x:c r="A24" s="8" t="str">
        <x:v>2025H1</x:v>
      </x:c>
      <x:c r="B24" s="25" t="str">
        <x:v>美洲</x:v>
      </x:c>
      <x:c r="C24" s="25" t="n">
        <x:v>41</x:v>
      </x:c>
      <x:c r="D24" s="29" t="n">
        <x:v>736.961</x:v>
      </x:c>
      <x:c r="E24" s="29" t="n">
        <x:f>IFERROR(D24/C24,"")</x:f>
        <x:v>17.974658536585366</x:v>
      </x:c>
      <x:c r="F24" s="31"/>
      <x:c r="G24" s="31"/>
      <x:c r="H24" s="31" t="str">
        <x:f>IF(F24="","",(1+G24)/(1+F24)-1)</x:f>
      </x:c>
      <x:c r="I24" s="25"/>
      <x:c r="J24" s="9" t="str">
        <x:v>H12026</x:v>
      </x:c>
    </x:row>
    <x:row r="25">
      <x:c r="A25" s="8" t="str">
        <x:v>2025H1</x:v>
      </x:c>
      <x:c r="B25" s="25" t="str">
        <x:v>欧洲及其他</x:v>
      </x:c>
      <x:c r="C25" s="25" t="n">
        <x:v>18</x:v>
      </x:c>
      <x:c r="D25" s="29" t="n">
        <x:v>272.11</x:v>
      </x:c>
      <x:c r="E25" s="29" t="n">
        <x:f>IFERROR(D25/C25,"")</x:f>
        <x:v>15.117222222222223</x:v>
      </x:c>
      <x:c r="F25" s="31"/>
      <x:c r="G25" s="31"/>
      <x:c r="H25" s="31" t="str">
        <x:f>IF(F25="","",(1+G25)/(1+F25)-1)</x:f>
      </x:c>
      <x:c r="I25" s="25"/>
      <x:c r="J25" s="9" t="str">
        <x:v>H12026</x:v>
      </x:c>
    </x:row>
    <x:row r="26">
      <x:c r="A26" s="8" t="str">
        <x:v>2026H1</x:v>
      </x:c>
      <x:c r="B26" s="25" t="str">
        <x:v>PRC</x:v>
      </x:c>
      <x:c r="C26" s="25" t="n">
        <x:v>455</x:v>
      </x:c>
      <x:c r="D26" s="29" t="n">
        <x:v>6089.686</x:v>
      </x:c>
      <x:c r="E26" s="29" t="n">
        <x:f>IFERROR(D26/C26,"")</x:f>
        <x:v>13.383925274725273</x:v>
      </x:c>
      <x:c r="F26" s="31" t="n">
        <x:v>0.027</x:v>
      </x:c>
      <x:c r="G26" s="31" t="n">
        <x:v>0.382</x:v>
      </x:c>
      <x:c r="H26" s="31" t="n">
        <x:f>IF(F26="","",(1+G26)/(1+F26)-1)</x:f>
        <x:v>0.3456669912366117</x:v>
      </x:c>
      <x:c r="I26" s="25" t="n">
        <x:v>2482</x:v>
      </x:c>
      <x:c r="J26" s="9" t="str">
        <x:v>H12026</x:v>
      </x:c>
    </x:row>
    <x:row r="27">
      <x:c r="A27" s="8" t="str">
        <x:v>2026H1</x:v>
      </x:c>
      <x:c r="B27" s="25" t="str">
        <x:v>亚太</x:v>
      </x:c>
      <x:c r="C27" s="25" t="n">
        <x:v>90</x:v>
      </x:c>
      <x:c r="D27" s="29" t="n">
        <x:v>1716.171</x:v>
      </x:c>
      <x:c r="E27" s="29" t="n">
        <x:f>IFERROR(D27/C27,"")</x:f>
        <x:v>19.068566666666666</x:v>
      </x:c>
      <x:c r="F27" s="31" t="n">
        <x:v>0.304</x:v>
      </x:c>
      <x:c r="G27" s="31" t="n">
        <x:v>0.149</x:v>
      </x:c>
      <x:c r="H27" s="31" t="n">
        <x:f>IF(F27="","",(1+G27)/(1+F27)-1)</x:f>
        <x:v>-0.11886503067484666</x:v>
      </x:c>
      <x:c r="I27" s="25"/>
      <x:c r="J27" s="9" t="str">
        <x:v>H12026</x:v>
      </x:c>
    </x:row>
    <x:row r="28">
      <x:c r="A28" s="8" t="str">
        <x:v>2026H1</x:v>
      </x:c>
      <x:c r="B28" s="25" t="str">
        <x:v>美洲</x:v>
      </x:c>
      <x:c r="C28" s="25" t="n">
        <x:v>86</x:v>
      </x:c>
      <x:c r="D28" s="29" t="n">
        <x:v>903.063</x:v>
      </x:c>
      <x:c r="E28" s="29" t="n">
        <x:f>IFERROR(D28/C28,"")</x:f>
        <x:v>10.500732558139534</x:v>
      </x:c>
      <x:c r="F28" s="31" t="n">
        <x:v>1.098</x:v>
      </x:c>
      <x:c r="G28" s="31" t="n">
        <x:v>0.225</x:v>
      </x:c>
      <x:c r="H28" s="31" t="n">
        <x:f>IF(F28="","",(1+G28)/(1+F28)-1)</x:f>
        <x:v>-0.4161105815061963</x:v>
      </x:c>
      <x:c r="I28" s="25"/>
      <x:c r="J28" s="9" t="str">
        <x:v>H12026</x:v>
      </x:c>
    </x:row>
    <x:row r="29">
      <x:c r="A29" s="10" t="str">
        <x:v>2026H1</x:v>
      </x:c>
      <x:c r="B29" s="26" t="str">
        <x:v>欧洲及其他</x:v>
      </x:c>
      <x:c r="C29" s="26" t="n">
        <x:v>45</x:v>
      </x:c>
      <x:c r="D29" s="30" t="n">
        <x:v>403.066</x:v>
      </x:c>
      <x:c r="E29" s="30" t="n">
        <x:f>IFERROR(D29/C29,"")</x:f>
        <x:v>8.957022222222221</x:v>
      </x:c>
      <x:c r="F29" s="32" t="n">
        <x:v>1.5</x:v>
      </x:c>
      <x:c r="G29" s="32" t="n">
        <x:v>0.481</x:v>
      </x:c>
      <x:c r="H29" s="32" t="n">
        <x:f>IF(F29="","",(1+G29)/(1+F29)-1)</x:f>
        <x:v>-0.4076000000000001</x:v>
      </x:c>
      <x:c r="I29" s="26"/>
      <x:c r="J29" s="11" t="str">
        <x:v>H12026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30" hidden="0" customWidth="1"/>
    <x:col min="5" max="5" width="36" hidden="0" customWidth="1"/>
    <x:col min="6" max="6" width="18" hidden="0" customWidth="1"/>
    <x:col min="7" max="7" width="14" hidden="0" customWidth="1"/>
    <x:col min="8" max="8" width="18" hidden="0" customWidth="1"/>
  </x:cols>
  <x:sheetData>
    <x:row r="1" ht="30" customHeight="1">
      <x:c r="A1" s="2" t="str">
        <x:v>业绩说明会与管理层问答补充</x:v>
      </x:c>
    </x:row>
    <x:row r="2" ht="30" customHeight="1">
      <x:c r="A2" s="5" t="str">
        <x:v>以下不是审计销售数据。内容用于解释渠道角色、扩张策略和管理层预期；已尽可能用后续实际结果检验。</x:v>
      </x:c>
    </x:row>
    <x:row r="4" ht="28" customHeight="1">
      <x:c r="A4" s="17" t="str">
        <x:v>会议/日期</x:v>
      </x:c>
      <x:c r="B4" s="17" t="str">
        <x:v>管理层信息</x:v>
      </x:c>
      <x:c r="C4" s="17" t="str">
        <x:v>关键表述</x:v>
      </x:c>
      <x:c r="D4" s="17" t="str">
        <x:v>可量化指标/目标</x:v>
      </x:c>
      <x:c r="E4" s="17" t="str">
        <x:v>后续结果</x:v>
      </x:c>
      <x:c r="F4" s="17" t="str">
        <x:v>判断</x:v>
      </x:c>
      <x:c r="G4" s="17" t="str">
        <x:v>来源ID</x:v>
      </x:c>
      <x:c r="H4" s="17" t="str">
        <x:v>证据等级</x:v>
      </x:c>
    </x:row>
    <x:row r="5" ht="54" customHeight="1">
      <x:c r="A5" s="39" t="str">
        <x:v>2020年度业绩会</x:v>
      </x:c>
      <x:c r="B5" s="40" t="str">
        <x:v>渠道定位</x:v>
      </x:c>
      <x:c r="C5" s="40" t="str">
        <x:v>门店兼具销售、品牌展示和拉新；机器人商店兼具便利、拉新和选址雷达；天猫偏拉新，抽盒机偏核心用户。</x:v>
      </x:c>
      <x:c r="D5" s="40" t="str">
        <x:v>四类渠道各有明确角色</x:v>
      </x:c>
      <x:c r="E5" s="40" t="str">
        <x:v>此后渠道结构多次迁移，但全渠道能力持续</x:v>
      </x:c>
      <x:c r="F5" s="40" t="str">
        <x:v>解释力强</x:v>
      </x:c>
      <x:c r="G5" s="40" t="str">
        <x:v>CALL2020</x:v>
      </x:c>
      <x:c r="H5" s="41" t="str">
        <x:v>二手会议纪要</x:v>
      </x:c>
    </x:row>
    <x:row r="6" ht="54" customHeight="1">
      <x:c r="A6" s="39" t="str">
        <x:v>2022年度业绩会</x:v>
      </x:c>
      <x:c r="B6" s="40" t="str">
        <x:v>海外</x:v>
      </x:c>
      <x:c r="C6" s="40" t="str">
        <x:v>管理层预计海外继续高速增长。</x:v>
      </x:c>
      <x:c r="D6" s="40" t="str">
        <x:v>方向性指引</x:v>
      </x:c>
      <x:c r="E6" s="40" t="str">
        <x:v>2023海外+134.9%，2024+375.2%</x:v>
      </x:c>
      <x:c r="F6" s="40" t="str">
        <x:v>兑现</x:v>
      </x:c>
      <x:c r="G6" s="40" t="str">
        <x:v>CALL2022</x:v>
      </x:c>
      <x:c r="H6" s="41" t="str">
        <x:v>二手会议纪要</x:v>
      </x:c>
    </x:row>
    <x:row r="7" ht="54" customHeight="1">
      <x:c r="A7" s="39" t="str">
        <x:v>2023年度业绩会</x:v>
      </x:c>
      <x:c r="B7" s="40" t="str">
        <x:v>中国门店</x:v>
      </x:c>
      <x:c r="C7" s="40" t="str">
        <x:v>2024增长不依赖大举开店，重点提升门店运营、购买规模和客单价。</x:v>
      </x:c>
      <x:c r="D7" s="40" t="str">
        <x:v>门店数量小幅增长、单店改善</x:v>
      </x:c>
      <x:c r="E7" s="40" t="str">
        <x:v>2024大陆店数+10.5%，零售收入+43.9%</x:v>
      </x:c>
      <x:c r="F7" s="40" t="str">
        <x:v>基本兑现</x:v>
      </x:c>
      <x:c r="G7" s="40" t="str">
        <x:v>CALL2023</x:v>
      </x:c>
      <x:c r="H7" s="41" t="str">
        <x:v>权威媒体转述</x:v>
      </x:c>
    </x:row>
    <x:row r="8" ht="54" customHeight="1">
      <x:c r="A8" s="39" t="str">
        <x:v>2024年度业绩会</x:v>
      </x:c>
      <x:c r="B8" s="40" t="str">
        <x:v>2025目标</x:v>
      </x:c>
      <x:c r="C8" s="40" t="str">
        <x:v>集团收入增速50%以上、收入超200亿元；海外收入超100亿元并新开约100家门店。</x:v>
      </x:c>
      <x:c r="D8" s="40" t="str">
        <x:v>&gt;200亿元；海外&gt;100亿元</x:v>
      </x:c>
      <x:c r="E8" s="40" t="str">
        <x:v>实际371.2亿元；PRC外162.7亿元；PRC外门店约净增95家</x:v>
      </x:c>
      <x:c r="F8" s="40" t="str">
        <x:v>大幅超额兑现</x:v>
      </x:c>
      <x:c r="G8" s="40" t="str">
        <x:v>CALL2024</x:v>
      </x:c>
      <x:c r="H8" s="41" t="str">
        <x:v>媒体/纪要交叉</x:v>
      </x:c>
    </x:row>
    <x:row r="9" ht="54" customHeight="1">
      <x:c r="A9" s="39" t="str">
        <x:v>2024年度业绩会</x:v>
      </x:c>
      <x:c r="B9" s="40" t="str">
        <x:v>海外店效</x:v>
      </x:c>
      <x:c r="C9" s="40" t="str">
        <x:v>东南亚超过10家门店月销超500万元；6家地标店月均坪效超10万元；欧美坪效约1-2万元。</x:v>
      </x:c>
      <x:c r="D9" s="40" t="str">
        <x:v>门店级非审计指标</x:v>
      </x:c>
      <x:c r="E9" s="40" t="str">
        <x:v>没有在年报中形成持续同店序列</x:v>
      </x:c>
      <x:c r="F9" s="40" t="str">
        <x:v>仅作佐证</x:v>
      </x:c>
      <x:c r="G9" s="40" t="str">
        <x:v>CALL2024</x:v>
      </x:c>
      <x:c r="H9" s="41" t="str">
        <x:v>二手会议纪要</x:v>
      </x:c>
    </x:row>
    <x:row r="10" ht="54" customHeight="1">
      <x:c r="A10" s="39" t="str">
        <x:v>2025年度业绩会</x:v>
      </x:c>
      <x:c r="B10" s="40" t="str">
        <x:v>中国结构</x:v>
      </x:c>
      <x:c r="C10" s="40" t="str">
        <x:v>管理层称THE MONSTERS在中国全品类约占三分之一，约七成来自其他IP和品类。</x:v>
      </x:c>
      <x:c r="D10" s="40" t="str">
        <x:v>中国业务IP集中度说明</x:v>
      </x:c>
      <x:c r="E10" s="40" t="str">
        <x:v>公司未在财报中按地区披露IP收入，无法审计复核</x:v>
      </x:c>
      <x:c r="F10" s="40" t="str">
        <x:v>方向性证据</x:v>
      </x:c>
      <x:c r="G10" s="40" t="str">
        <x:v>CALL2025</x:v>
      </x:c>
      <x:c r="H10" s="41" t="str">
        <x:v>二手会议纪要</x:v>
      </x:c>
    </x:row>
    <x:row r="11" ht="54" customHeight="1">
      <x:c r="A11" s="39" t="str">
        <x:v>2025年度业绩会</x:v>
      </x:c>
      <x:c r="B11" s="40" t="str">
        <x:v>2026开店</x:v>
      </x:c>
      <x:c r="C11" s="40" t="str">
        <x:v>适度增加门店，但重点从数量转向质量、旗舰店和改造升级。</x:v>
      </x:c>
      <x:c r="D11" s="40" t="str">
        <x:v>经营质量优先</x:v>
      </x:c>
      <x:c r="E11" s="40" t="str">
        <x:v>2026H1 PRC店数+2.7%、零售收入+38.2%；海外店数快增但粗略店效下行</x:v>
      </x:c>
      <x:c r="F11" s="40" t="str">
        <x:v>中国兑现，海外仍在调整</x:v>
      </x:c>
      <x:c r="G11" s="40" t="str">
        <x:v>CALL2025</x:v>
      </x:c>
      <x:c r="H11" s="41" t="str">
        <x:v>二手会议纪要</x:v>
      </x:c>
    </x:row>
    <x:row r="12" ht="54" customHeight="1">
      <x:c r="A12" s="42" t="str">
        <x:v>2026中期业绩会</x:v>
      </x:c>
      <x:c r="B12" s="43" t="str">
        <x:v>调整年</x:v>
      </x:c>
      <x:c r="C12" s="43" t="str">
        <x:v>王宁称2025存在运气和意外流量，暴露管理问题；2026不以冲高业绩为首要目标。</x:v>
      </x:c>
      <x:c r="D12" s="43" t="str">
        <x:v>全年原20%增长目标大概率无法完成</x:v>
      </x:c>
      <x:c r="E12" s="43" t="str">
        <x:v>2026H1收入+23.8%，海外-11.1%</x:v>
      </x:c>
      <x:c r="F12" s="43" t="str">
        <x:v>重要负面修正</x:v>
      </x:c>
      <x:c r="G12" s="43" t="str">
        <x:v>CALL2026H1</x:v>
      </x:c>
      <x:c r="H12" s="44" t="str">
        <x:v>权威媒体转述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60" hidden="0" customWidth="1"/>
    <x:col min="5" max="5" width="20" hidden="0" customWidth="1"/>
    <x:col min="6" max="6" width="12" hidden="0" customWidth="1"/>
    <x:col min="7" max="7" width="38" hidden="0" customWidth="1"/>
  </x:cols>
  <x:sheetData>
    <x:row r="1" ht="30" customHeight="1">
      <x:c r="A1" s="2" t="str">
        <x:v>来源、口径与校验</x:v>
      </x:c>
    </x:row>
    <x:row r="2" ht="30" customHeight="1">
      <x:c r="A2" s="5" t="str">
        <x:v>优先级：港交所/公司正式报告 &gt; 公司投资者关系页面 &gt; 权威媒体转述 &gt; 会议纪要。</x:v>
      </x:c>
    </x:row>
    <x:row r="4" ht="28" customHeight="1">
      <x:c r="A4" s="17" t="str">
        <x:v>来源ID</x:v>
      </x:c>
      <x:c r="B4" s="17" t="str">
        <x:v>类型</x:v>
      </x:c>
      <x:c r="C4" s="17" t="str">
        <x:v>报告期/主题</x:v>
      </x:c>
      <x:c r="D4" s="17" t="str">
        <x:v>URL</x:v>
      </x:c>
      <x:c r="E4" s="17" t="str">
        <x:v>使用范围</x:v>
      </x:c>
      <x:c r="F4" s="17" t="str">
        <x:v>备注</x:v>
      </x:c>
      <x:c r="G4" s="17" t="str">
        <x:v>核验</x:v>
      </x:c>
    </x:row>
    <x:row r="5">
      <x:c r="A5" s="8" t="str">
        <x:v>AR2020</x:v>
      </x:c>
      <x:c r="B5" s="25" t="str">
        <x:v>正式报告</x:v>
      </x:c>
      <x:c r="C5" s="25" t="str">
        <x:v>AR2020</x:v>
      </x:c>
      <x:c r="D5" s="47" t="str">
        <x:v>https://www1.hkexnews.hk/listedco/listconews/sehk/2021/0426/2021042601657.pdf</x:v>
      </x:c>
      <x:c r="E5" s="25" t="str">
        <x:v>对应数据表或管理层补充</x:v>
      </x:c>
      <x:c r="F5" s="25" t="str">
        <x:v>完整URL，便于复核</x:v>
      </x:c>
      <x:c r="G5" s="9" t="str">
        <x:v>一手</x:v>
      </x:c>
    </x:row>
    <x:row r="6">
      <x:c r="A6" s="8" t="str">
        <x:v>AR2021</x:v>
      </x:c>
      <x:c r="B6" s="25" t="str">
        <x:v>正式报告</x:v>
      </x:c>
      <x:c r="C6" s="25" t="str">
        <x:v>AR2021</x:v>
      </x:c>
      <x:c r="D6" s="47" t="str">
        <x:v>https://www.hkexnews.hk/listedco/listconews/sehk/2022/0427/2022042701431_c.pdf</x:v>
      </x:c>
      <x:c r="E6" s="25" t="str">
        <x:v>对应数据表或管理层补充</x:v>
      </x:c>
      <x:c r="F6" s="25" t="str">
        <x:v>完整URL，便于复核</x:v>
      </x:c>
      <x:c r="G6" s="9" t="str">
        <x:v>一手</x:v>
      </x:c>
    </x:row>
    <x:row r="7">
      <x:c r="A7" s="8" t="str">
        <x:v>AR2022</x:v>
      </x:c>
      <x:c r="B7" s="25" t="str">
        <x:v>正式报告</x:v>
      </x:c>
      <x:c r="C7" s="25" t="str">
        <x:v>AR2022</x:v>
      </x:c>
      <x:c r="D7" s="47" t="str">
        <x:v>https://prod-out-res.popmart.com/cms/ANNUAL_REPORT_2022_e5c3886181.pdf</x:v>
      </x:c>
      <x:c r="E7" s="25" t="str">
        <x:v>对应数据表或管理层补充</x:v>
      </x:c>
      <x:c r="F7" s="25" t="str">
        <x:v>完整URL，便于复核</x:v>
      </x:c>
      <x:c r="G7" s="9" t="str">
        <x:v>一手</x:v>
      </x:c>
    </x:row>
    <x:row r="8">
      <x:c r="A8" s="8" t="str">
        <x:v>AR2023</x:v>
      </x:c>
      <x:c r="B8" s="25" t="str">
        <x:v>正式报告</x:v>
      </x:c>
      <x:c r="C8" s="25" t="str">
        <x:v>AR2023</x:v>
      </x:c>
      <x:c r="D8" s="47" t="str">
        <x:v>https://www1.hkexnews.hk/listedco/listconews/sehk/2024/0425/2024042500730.pdf</x:v>
      </x:c>
      <x:c r="E8" s="25" t="str">
        <x:v>对应数据表或管理层补充</x:v>
      </x:c>
      <x:c r="F8" s="25" t="str">
        <x:v>完整URL，便于复核</x:v>
      </x:c>
      <x:c r="G8" s="9" t="str">
        <x:v>一手</x:v>
      </x:c>
    </x:row>
    <x:row r="9">
      <x:c r="A9" s="8" t="str">
        <x:v>AR2024</x:v>
      </x:c>
      <x:c r="B9" s="25" t="str">
        <x:v>正式报告</x:v>
      </x:c>
      <x:c r="C9" s="25" t="str">
        <x:v>AR2024</x:v>
      </x:c>
      <x:c r="D9" s="47" t="str">
        <x:v>https://www1.hkexnews.hk/listedco/listconews/sehk/2025/0423/2025042300687.pdf</x:v>
      </x:c>
      <x:c r="E9" s="25" t="str">
        <x:v>对应数据表或管理层补充</x:v>
      </x:c>
      <x:c r="F9" s="25" t="str">
        <x:v>完整URL，便于复核</x:v>
      </x:c>
      <x:c r="G9" s="9" t="str">
        <x:v>一手</x:v>
      </x:c>
    </x:row>
    <x:row r="10">
      <x:c r="A10" s="8" t="str">
        <x:v>AR2025</x:v>
      </x:c>
      <x:c r="B10" s="25" t="str">
        <x:v>正式报告</x:v>
      </x:c>
      <x:c r="C10" s="25" t="str">
        <x:v>AR2025</x:v>
      </x:c>
      <x:c r="D10" s="47" t="str">
        <x:v>https://prod-out-res.popmart.com/cms/ANNUAL_REPORT_2025_bd4e173872.pdf</x:v>
      </x:c>
      <x:c r="E10" s="25" t="str">
        <x:v>对应数据表或管理层补充</x:v>
      </x:c>
      <x:c r="F10" s="25" t="str">
        <x:v>完整URL，便于复核</x:v>
      </x:c>
      <x:c r="G10" s="9" t="str">
        <x:v>一手</x:v>
      </x:c>
    </x:row>
    <x:row r="11">
      <x:c r="A11" s="8" t="str">
        <x:v>H12026</x:v>
      </x:c>
      <x:c r="B11" s="25" t="str">
        <x:v>正式报告</x:v>
      </x:c>
      <x:c r="C11" s="25" t="str">
        <x:v>H12026</x:v>
      </x:c>
      <x:c r="D11" s="47" t="str">
        <x:v>https://www1.hkexnews.hk/listedco/listconews/sehk/2026/0820/2026082000353.pdf</x:v>
      </x:c>
      <x:c r="E11" s="25" t="str">
        <x:v>对应数据表或管理层补充</x:v>
      </x:c>
      <x:c r="F11" s="25" t="str">
        <x:v>完整URL，便于复核</x:v>
      </x:c>
      <x:c r="G11" s="9" t="str">
        <x:v>一手</x:v>
      </x:c>
    </x:row>
    <x:row r="12">
      <x:c r="A12" s="8" t="str">
        <x:v>IR</x:v>
      </x:c>
      <x:c r="B12" s="25" t="str">
        <x:v>官方IR</x:v>
      </x:c>
      <x:c r="C12" s="25" t="str">
        <x:v>IR</x:v>
      </x:c>
      <x:c r="D12" s="47" t="str">
        <x:v>https://www.popmart.com.cn/home/investor</x:v>
      </x:c>
      <x:c r="E12" s="25" t="str">
        <x:v>对应数据表或管理层补充</x:v>
      </x:c>
      <x:c r="F12" s="25" t="str">
        <x:v>完整URL，便于复核</x:v>
      </x:c>
      <x:c r="G12" s="9" t="str">
        <x:v>解释层</x:v>
      </x:c>
    </x:row>
    <x:row r="13">
      <x:c r="A13" s="8" t="str">
        <x:v>CALL2020</x:v>
      </x:c>
      <x:c r="B13" s="25" t="str">
        <x:v>业绩会/媒体</x:v>
      </x:c>
      <x:c r="C13" s="25" t="str">
        <x:v>CALL2020</x:v>
      </x:c>
      <x:c r="D13" s="47" t="str">
        <x:v>https://xueqiu.com/1863122099/392576964</x:v>
      </x:c>
      <x:c r="E13" s="25" t="str">
        <x:v>对应数据表或管理层补充</x:v>
      </x:c>
      <x:c r="F13" s="25" t="str">
        <x:v>完整URL，便于复核</x:v>
      </x:c>
      <x:c r="G13" s="9" t="str">
        <x:v>解释层</x:v>
      </x:c>
    </x:row>
    <x:row r="14">
      <x:c r="A14" s="8" t="str">
        <x:v>CALL2022</x:v>
      </x:c>
      <x:c r="B14" s="25" t="str">
        <x:v>业绩会/媒体</x:v>
      </x:c>
      <x:c r="C14" s="25" t="str">
        <x:v>CALL2022</x:v>
      </x:c>
      <x:c r="D14" s="47" t="str">
        <x:v>https://xueqiu.com/1163141813/245940803</x:v>
      </x:c>
      <x:c r="E14" s="25" t="str">
        <x:v>对应数据表或管理层补充</x:v>
      </x:c>
      <x:c r="F14" s="25" t="str">
        <x:v>完整URL，便于复核</x:v>
      </x:c>
      <x:c r="G14" s="9" t="str">
        <x:v>解释层</x:v>
      </x:c>
    </x:row>
    <x:row r="15">
      <x:c r="A15" s="8" t="str">
        <x:v>CALL2023</x:v>
      </x:c>
      <x:c r="B15" s="25" t="str">
        <x:v>业绩会/媒体</x:v>
      </x:c>
      <x:c r="C15" s="25" t="str">
        <x:v>CALL2023</x:v>
      </x:c>
      <x:c r="D15" s="47" t="str">
        <x:v>https://finance.sina.com.cn/jjxw/2024-03-20/doc-inanyitn0034560.shtml</x:v>
      </x:c>
      <x:c r="E15" s="25" t="str">
        <x:v>对应数据表或管理层补充</x:v>
      </x:c>
      <x:c r="F15" s="25" t="str">
        <x:v>完整URL，便于复核</x:v>
      </x:c>
      <x:c r="G15" s="9" t="str">
        <x:v>解释层</x:v>
      </x:c>
    </x:row>
    <x:row r="16">
      <x:c r="A16" s="8" t="str">
        <x:v>CALL2024</x:v>
      </x:c>
      <x:c r="B16" s="25" t="str">
        <x:v>业绩会/媒体</x:v>
      </x:c>
      <x:c r="C16" s="25" t="str">
        <x:v>CALL2024</x:v>
      </x:c>
      <x:c r="D16" s="47" t="str">
        <x:v>https://finance.sina.com.cn/stock/hkstock/ggscyd/2025-03-26/doc-ineqyrfp8926289.shtml</x:v>
      </x:c>
      <x:c r="E16" s="25" t="str">
        <x:v>对应数据表或管理层补充</x:v>
      </x:c>
      <x:c r="F16" s="25" t="str">
        <x:v>完整URL，便于复核</x:v>
      </x:c>
      <x:c r="G16" s="9" t="str">
        <x:v>解释层</x:v>
      </x:c>
    </x:row>
    <x:row r="17">
      <x:c r="A17" s="8" t="str">
        <x:v>CALL2025</x:v>
      </x:c>
      <x:c r="B17" s="25" t="str">
        <x:v>业绩会/媒体</x:v>
      </x:c>
      <x:c r="C17" s="25" t="str">
        <x:v>CALL2025</x:v>
      </x:c>
      <x:c r="D17" s="47" t="str">
        <x:v>https://caifuhao.eastmoney.com/news/20260425080725715185600</x:v>
      </x:c>
      <x:c r="E17" s="25" t="str">
        <x:v>对应数据表或管理层补充</x:v>
      </x:c>
      <x:c r="F17" s="25" t="str">
        <x:v>完整URL，便于复核</x:v>
      </x:c>
      <x:c r="G17" s="9" t="str">
        <x:v>解释层</x:v>
      </x:c>
    </x:row>
    <x:row r="18">
      <x:c r="A18" s="10" t="str">
        <x:v>CALL2026H1</x:v>
      </x:c>
      <x:c r="B18" s="26" t="str">
        <x:v>业绩会/媒体</x:v>
      </x:c>
      <x:c r="C18" s="26" t="str">
        <x:v>CALL2026H1</x:v>
      </x:c>
      <x:c r="D18" s="48" t="str">
        <x:v>https://finance.eastmoney.com/a/202608203848013364.html</x:v>
      </x:c>
      <x:c r="E18" s="26" t="str">
        <x:v>对应数据表或管理层补充</x:v>
      </x:c>
      <x:c r="F18" s="26" t="str">
        <x:v>完整URL，便于复核</x:v>
      </x:c>
      <x:c r="G18" s="11" t="str">
        <x:v>解释层</x:v>
      </x:c>
    </x:row>
    <x:row r="22" ht="28" customHeight="1">
      <x:c r="A22" s="17" t="str">
        <x:v>校验项</x:v>
      </x:c>
      <x:c r="B22" s="17" t="str">
        <x:v>实际值</x:v>
      </x:c>
      <x:c r="C22" s="17" t="str">
        <x:v>预期值</x:v>
      </x:c>
      <x:c r="D22" s="17" t="str">
        <x:v>差异</x:v>
      </x:c>
      <x:c r="E22" s="17" t="str">
        <x:v>容差</x:v>
      </x:c>
      <x:c r="F22" s="17" t="str">
        <x:v>状态</x:v>
      </x:c>
      <x:c r="G22" s="17" t="str">
        <x:v>说明</x:v>
      </x:c>
    </x:row>
    <x:row r="23">
      <x:c r="A23" s="8" t="str">
        <x:v>2025地区合计</x:v>
      </x:c>
      <x:c r="B23" s="49" t="n">
        <x:f>SUM('地区收入'!D21:D24)</x:f>
        <x:v>37120.051999999996</x:v>
      </x:c>
      <x:c r="C23" s="49" t="n">
        <x:v>37120.052</x:v>
      </x:c>
      <x:c r="D23" s="49" t="n">
        <x:f>B23-C23</x:f>
        <x:v>-7.275957614183426e-12</x:v>
      </x:c>
      <x:c r="E23" s="49" t="n">
        <x:v>0.01</x:v>
      </x:c>
      <x:c r="F23" s="25" t="str">
        <x:f>IF(ABS(D23)&lt;=E23,"OK","FAIL")</x:f>
        <x:v>OK</x:v>
      </x:c>
      <x:c r="G23" s="9" t="str">
        <x:v>PRC+亚太+美洲+欧洲</x:v>
      </x:c>
    </x:row>
    <x:row r="24">
      <x:c r="A24" s="8" t="str">
        <x:v>2025渠道合计</x:v>
      </x:c>
      <x:c r="B24" s="49" t="n">
        <x:f>SUM('年度渠道'!B10:C10,'年度渠道'!E10:F10)</x:f>
        <x:v>37120.052</x:v>
      </x:c>
      <x:c r="C24" s="49" t="n">
        <x:v>37120.052</x:v>
      </x:c>
      <x:c r="D24" s="49" t="n">
        <x:f>B24-C24</x:f>
        <x:v>0</x:v>
      </x:c>
      <x:c r="E24" s="49" t="n">
        <x:v>0.01</x:v>
      </x:c>
      <x:c r="F24" s="25" t="str">
        <x:f>IF(ABS(D24)&lt;=E24,"OK","FAIL")</x:f>
        <x:v>OK</x:v>
      </x:c>
      <x:c r="G24" s="9" t="str">
        <x:v>零售+机器人+线上+批发</x:v>
      </x:c>
    </x:row>
    <x:row r="25">
      <x:c r="A25" s="8" t="str">
        <x:v>2025产品品类合计</x:v>
      </x:c>
      <x:c r="B25" s="49" t="n">
        <x:f>SUM('产品品类'!C13:C16)</x:f>
        <x:v>37120.051999999996</x:v>
      </x:c>
      <x:c r="C25" s="49" t="n">
        <x:v>37120.052</x:v>
      </x:c>
      <x:c r="D25" s="49" t="n">
        <x:f>B25-C25</x:f>
        <x:v>-7.275957614183426e-12</x:v>
      </x:c>
      <x:c r="E25" s="49" t="n">
        <x:v>0.01</x:v>
      </x:c>
      <x:c r="F25" s="25" t="str">
        <x:f>IF(ABS(D25)&lt;=E25,"OK","FAIL")</x:f>
        <x:v>OK</x:v>
      </x:c>
      <x:c r="G25" s="9" t="str">
        <x:v>毛绒+手办+MEGA+其他</x:v>
      </x:c>
    </x:row>
    <x:row r="26">
      <x:c r="A26" s="8" t="str">
        <x:v>2026H1地区合计</x:v>
      </x:c>
      <x:c r="B26" s="49" t="n">
        <x:f>SUM('地区收入'!D31:D34)</x:f>
        <x:v>17172.921</x:v>
      </x:c>
      <x:c r="C26" s="49" t="n">
        <x:v>17172.921</x:v>
      </x:c>
      <x:c r="D26" s="49" t="n">
        <x:f>B26-C26</x:f>
        <x:v>0</x:v>
      </x:c>
      <x:c r="E26" s="49" t="n">
        <x:v>0.01</x:v>
      </x:c>
      <x:c r="F26" s="25" t="str">
        <x:f>IF(ABS(D26)&lt;=E26,"OK","FAIL")</x:f>
        <x:v>OK</x:v>
      </x:c>
      <x:c r="G26" s="9" t="str">
        <x:v>四地区</x:v>
      </x:c>
    </x:row>
    <x:row r="27">
      <x:c r="A27" s="10" t="str">
        <x:v>2026H1品类合计</x:v>
      </x:c>
      <x:c r="B27" s="50" t="n">
        <x:f>SUM('产品品类'!C20:C22)</x:f>
        <x:v>17172.921</x:v>
      </x:c>
      <x:c r="C27" s="50" t="n">
        <x:v>17172.921</x:v>
      </x:c>
      <x:c r="D27" s="50" t="n">
        <x:f>B27-C27</x:f>
        <x:v>0</x:v>
      </x:c>
      <x:c r="E27" s="50" t="n">
        <x:v>0.01</x:v>
      </x:c>
      <x:c r="F27" s="26" t="str">
        <x:f>IF(ABS(D27)&lt;=E27,"OK","FAIL")</x:f>
        <x:v>OK</x:v>
      </x:c>
      <x:c r="G27" s="11" t="str">
        <x:v>三品类</x:v>
      </x:c>
    </x:row>
  </x:sheetData>
  <x:mergeCells>
    <x:mergeCell ref="A1:G1"/>
    <x:mergeCell ref="A2:G2"/>
  </x:mergeCells>
  <x:pageMargins left="0.7" right="0.7" top="0.75" bottom="0.75" header="0.3" footer="0.3"/>
</x:worksheet>
</file>