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算明细" sheetId="1" state="visible" r:id="rId1"/>
    <sheet name="口径说明" sheetId="2" state="visible" r:id="rId2"/>
  </sheets>
  <definedNames>
    <definedName name="_xlnm._FilterDatabase" localSheetId="0" hidden="1">'测算明细'!$A$2:$M$33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3" fillId="3" borderId="1" pivotButton="0" quotePrefix="0" xfId="0"/>
    <xf numFmtId="165" fontId="3" fillId="3" borderId="1" pivotButton="0" quotePrefix="0" xfId="0"/>
    <xf numFmtId="10" fontId="3" fillId="3" borderId="1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7" customWidth="1" min="3" max="3"/>
    <col width="9.5" customWidth="1" min="4" max="4"/>
    <col width="9" customWidth="1" min="5" max="5"/>
    <col width="7.5" customWidth="1" min="6" max="6"/>
    <col width="8.5" customWidth="1" min="7" max="7"/>
    <col width="9" customWidth="1" min="8" max="8"/>
    <col width="8.5" customWidth="1" min="9" max="9"/>
    <col width="11" customWidth="1" min="10" max="10"/>
    <col width="10.5" customWidth="1" min="11" max="11"/>
    <col width="8.5" customWidth="1" min="12" max="12"/>
    <col width="42" customWidth="1" min="13" max="13"/>
  </cols>
  <sheetData>
    <row r="1" ht="24" customHeight="1">
      <c r="A1" s="1" t="inlineStr">
        <is>
          <t>观察池 Gordon 理论回报测算（回报 = 股息率 + 内生增长 g；数据 2026-10-16 收盘）</t>
        </is>
      </c>
    </row>
    <row r="2">
      <c r="A2" s="2" t="inlineStr">
        <is>
          <t>序号</t>
        </is>
      </c>
      <c r="B2" s="2" t="inlineStr">
        <is>
          <t>标的</t>
        </is>
      </c>
      <c r="C2" s="2" t="inlineStr">
        <is>
          <t>市场</t>
        </is>
      </c>
      <c r="D2" s="2" t="inlineStr">
        <is>
          <t>现价</t>
        </is>
      </c>
      <c r="E2" s="2" t="inlineStr">
        <is>
          <t>PE(TTM)</t>
        </is>
      </c>
      <c r="F2" s="2" t="inlineStr">
        <is>
          <t>PB</t>
        </is>
      </c>
      <c r="G2" s="2" t="inlineStr">
        <is>
          <t>ROE</t>
        </is>
      </c>
      <c r="H2" s="2" t="inlineStr">
        <is>
          <t>股息率</t>
        </is>
      </c>
      <c r="I2" s="2" t="inlineStr">
        <is>
          <t>分红率</t>
        </is>
      </c>
      <c r="J2" s="2" t="inlineStr">
        <is>
          <t>内生增长g</t>
        </is>
      </c>
      <c r="K2" s="2" t="inlineStr">
        <is>
          <t>理论回报</t>
        </is>
      </c>
      <c r="L2" s="2" t="inlineStr">
        <is>
          <t>状态</t>
        </is>
      </c>
      <c r="M2" s="2" t="inlineStr">
        <is>
          <t>备注</t>
        </is>
      </c>
    </row>
    <row r="3">
      <c r="A3" s="3" t="n">
        <v>1</v>
      </c>
      <c r="B3" s="4" t="inlineStr">
        <is>
          <t>泡泡玛特</t>
        </is>
      </c>
      <c r="C3" s="5" t="inlineStr">
        <is>
          <t>港股</t>
        </is>
      </c>
      <c r="D3" s="6" t="n">
        <v>142.2</v>
      </c>
      <c r="E3" s="7" t="n">
        <v>13.39</v>
      </c>
      <c r="F3" s="8" t="n">
        <v>7.13</v>
      </c>
      <c r="G3" s="9" t="n">
        <v>0.5325</v>
      </c>
      <c r="H3" s="10" t="n">
        <v>0.0193</v>
      </c>
      <c r="I3" s="9" t="n">
        <v>0.2584</v>
      </c>
      <c r="J3" s="9" t="n">
        <v>0.3949</v>
      </c>
      <c r="K3" s="9" t="n">
        <v>0.4142</v>
      </c>
      <c r="L3" s="5" t="inlineStr">
        <is>
          <t>● 持仓</t>
        </is>
      </c>
      <c r="M3" s="11" t="inlineStr">
        <is>
          <t>† TTM ROE冲高值，g为外推产物，实际可持续回报远低于此</t>
        </is>
      </c>
    </row>
    <row r="4">
      <c r="A4" s="3" t="n">
        <v>2</v>
      </c>
      <c r="B4" s="4" t="inlineStr">
        <is>
          <t>携程集团-S</t>
        </is>
      </c>
      <c r="C4" s="5" t="inlineStr">
        <is>
          <t>港股</t>
        </is>
      </c>
      <c r="D4" s="6" t="n">
        <v>315</v>
      </c>
      <c r="E4" s="7" t="n">
        <v>5.38</v>
      </c>
      <c r="F4" s="8" t="n">
        <v>1.08</v>
      </c>
      <c r="G4" s="9" t="n">
        <v>0.2007</v>
      </c>
      <c r="H4" s="10" t="n">
        <v>0</v>
      </c>
      <c r="I4" s="9" t="n">
        <v>0</v>
      </c>
      <c r="J4" s="9" t="n">
        <v>0.2007</v>
      </c>
      <c r="K4" s="9" t="n">
        <v>0.2007</v>
      </c>
      <c r="L4" s="5" t="inlineStr">
        <is>
          <t>观察</t>
        </is>
      </c>
      <c r="M4" s="11" t="inlineStr"/>
    </row>
    <row r="5">
      <c r="A5" s="3" t="n">
        <v>3</v>
      </c>
      <c r="B5" s="4" t="inlineStr">
        <is>
          <t>腾讯控股</t>
        </is>
      </c>
      <c r="C5" s="5" t="inlineStr">
        <is>
          <t>港股</t>
        </is>
      </c>
      <c r="D5" s="6" t="n">
        <v>417.8</v>
      </c>
      <c r="E5" s="7" t="n">
        <v>15.26</v>
      </c>
      <c r="F5" s="8" t="n">
        <v>2.92</v>
      </c>
      <c r="G5" s="9" t="n">
        <v>0.1913</v>
      </c>
      <c r="H5" s="10" t="n">
        <v>0.0127</v>
      </c>
      <c r="I5" s="9" t="n">
        <v>0.1941</v>
      </c>
      <c r="J5" s="9" t="n">
        <v>0.1542</v>
      </c>
      <c r="K5" s="9" t="n">
        <v>0.1669</v>
      </c>
      <c r="L5" s="5" t="inlineStr">
        <is>
          <t>● 持仓</t>
        </is>
      </c>
      <c r="M5" s="11" t="inlineStr"/>
    </row>
    <row r="6">
      <c r="A6" s="3" t="n">
        <v>4</v>
      </c>
      <c r="B6" s="4" t="inlineStr">
        <is>
          <t>中国平安</t>
        </is>
      </c>
      <c r="C6" s="5" t="inlineStr">
        <is>
          <t>沪</t>
        </is>
      </c>
      <c r="D6" s="6" t="n">
        <v>51.88</v>
      </c>
      <c r="E6" s="7" t="n">
        <v>5.9</v>
      </c>
      <c r="F6" s="8" t="n">
        <v>0.93</v>
      </c>
      <c r="G6" s="9" t="n">
        <v>0.1576</v>
      </c>
      <c r="H6" s="10" t="n">
        <v>0.0526</v>
      </c>
      <c r="I6" s="9" t="n">
        <v>0.3103</v>
      </c>
      <c r="J6" s="9" t="n">
        <v>0.1087</v>
      </c>
      <c r="K6" s="9" t="n">
        <v>0.1613</v>
      </c>
      <c r="L6" s="5" t="inlineStr">
        <is>
          <t>观察</t>
        </is>
      </c>
      <c r="M6" s="11" t="inlineStr"/>
    </row>
    <row r="7">
      <c r="A7" s="3" t="n">
        <v>5</v>
      </c>
      <c r="B7" s="4" t="inlineStr">
        <is>
          <t>宁德时代</t>
        </is>
      </c>
      <c r="C7" s="5" t="inlineStr">
        <is>
          <t>深</t>
        </is>
      </c>
      <c r="D7" s="6" t="n">
        <v>277</v>
      </c>
      <c r="E7" s="7" t="n">
        <v>15.08</v>
      </c>
      <c r="F7" s="8" t="n">
        <v>3.44</v>
      </c>
      <c r="G7" s="9" t="n">
        <v>0.2281</v>
      </c>
      <c r="H7" s="10" t="n">
        <v>0.0297</v>
      </c>
      <c r="I7" s="9" t="n">
        <v>0.4479</v>
      </c>
      <c r="J7" s="9" t="n">
        <v>0.1259</v>
      </c>
      <c r="K7" s="9" t="n">
        <v>0.1556</v>
      </c>
      <c r="L7" s="5" t="inlineStr">
        <is>
          <t>观察</t>
        </is>
      </c>
      <c r="M7" s="11" t="inlineStr"/>
    </row>
    <row r="8">
      <c r="A8" s="3" t="n">
        <v>6</v>
      </c>
      <c r="B8" s="4" t="inlineStr">
        <is>
          <t>格力电器</t>
        </is>
      </c>
      <c r="C8" s="5" t="inlineStr">
        <is>
          <t>深</t>
        </is>
      </c>
      <c r="D8" s="6" t="n">
        <v>39.49</v>
      </c>
      <c r="E8" s="7" t="n">
        <v>7.94</v>
      </c>
      <c r="F8" s="8" t="n">
        <v>1.49</v>
      </c>
      <c r="G8" s="9" t="n">
        <v>0.1877</v>
      </c>
      <c r="H8" s="10" t="n">
        <v>0.0759</v>
      </c>
      <c r="I8" s="9" t="n">
        <v>0.6026</v>
      </c>
      <c r="J8" s="9" t="n">
        <v>0.0746</v>
      </c>
      <c r="K8" s="9" t="n">
        <v>0.1505</v>
      </c>
      <c r="L8" s="5" t="inlineStr">
        <is>
          <t>● 持仓</t>
        </is>
      </c>
      <c r="M8" s="11" t="inlineStr"/>
    </row>
    <row r="9">
      <c r="A9" s="3" t="n">
        <v>7</v>
      </c>
      <c r="B9" s="4" t="inlineStr">
        <is>
          <t>康臣药业</t>
        </is>
      </c>
      <c r="C9" s="5" t="inlineStr">
        <is>
          <t>港股</t>
        </is>
      </c>
      <c r="D9" s="6" t="n">
        <v>15.68</v>
      </c>
      <c r="E9" s="7" t="n">
        <v>11.01</v>
      </c>
      <c r="F9" s="8" t="n">
        <v>2.4</v>
      </c>
      <c r="G9" s="9" t="n">
        <v>0.218</v>
      </c>
      <c r="H9" s="10" t="n">
        <v>0.0499</v>
      </c>
      <c r="I9" s="9" t="n">
        <v>0.5491</v>
      </c>
      <c r="J9" s="9" t="n">
        <v>0.0983</v>
      </c>
      <c r="K9" s="9" t="n">
        <v>0.1482</v>
      </c>
      <c r="L9" s="5" t="inlineStr">
        <is>
          <t>观察</t>
        </is>
      </c>
      <c r="M9" s="11" t="inlineStr"/>
    </row>
    <row r="10">
      <c r="A10" s="3" t="n">
        <v>8</v>
      </c>
      <c r="B10" s="4" t="inlineStr">
        <is>
          <t>中国平安H</t>
        </is>
      </c>
      <c r="C10" s="5" t="inlineStr">
        <is>
          <t>港股</t>
        </is>
      </c>
      <c r="D10" s="6" t="n">
        <v>50.05</v>
      </c>
      <c r="E10" s="7" t="n">
        <v>6.07</v>
      </c>
      <c r="F10" s="8" t="n">
        <v>0.77</v>
      </c>
      <c r="G10" s="9" t="n">
        <v>0.1269</v>
      </c>
      <c r="H10" s="10" t="n">
        <v>0.06279999999999999</v>
      </c>
      <c r="I10" s="9" t="n">
        <v>0.3814</v>
      </c>
      <c r="J10" s="9" t="n">
        <v>0.0785</v>
      </c>
      <c r="K10" s="9" t="n">
        <v>0.1413</v>
      </c>
      <c r="L10" s="5" t="inlineStr">
        <is>
          <t>观察</t>
        </is>
      </c>
      <c r="M10" s="11" t="inlineStr"/>
    </row>
    <row r="11">
      <c r="A11" s="3" t="n">
        <v>9</v>
      </c>
      <c r="B11" s="4" t="inlineStr">
        <is>
          <t>农夫山泉</t>
        </is>
      </c>
      <c r="C11" s="5" t="inlineStr">
        <is>
          <t>港股</t>
        </is>
      </c>
      <c r="D11" s="6" t="n">
        <v>41.2</v>
      </c>
      <c r="E11" s="7" t="n">
        <v>26.37</v>
      </c>
      <c r="F11" s="8" t="n">
        <v>10.83</v>
      </c>
      <c r="G11" s="9" t="n">
        <v>0.4107</v>
      </c>
      <c r="H11" s="10" t="n">
        <v>0.0274</v>
      </c>
      <c r="I11" s="9" t="n">
        <v>0.7233000000000001</v>
      </c>
      <c r="J11" s="9" t="n">
        <v>0.1137</v>
      </c>
      <c r="K11" s="9" t="n">
        <v>0.1411</v>
      </c>
      <c r="L11" s="5" t="inlineStr">
        <is>
          <t>观察</t>
        </is>
      </c>
      <c r="M11" s="11" t="inlineStr"/>
    </row>
    <row r="12">
      <c r="A12" s="3" t="n">
        <v>10</v>
      </c>
      <c r="B12" s="4" t="inlineStr">
        <is>
          <t>宇通客车</t>
        </is>
      </c>
      <c r="C12" s="5" t="inlineStr">
        <is>
          <t>沪</t>
        </is>
      </c>
      <c r="D12" s="6" t="n">
        <v>28.71</v>
      </c>
      <c r="E12" s="7" t="n">
        <v>11.67</v>
      </c>
      <c r="F12" s="8" t="n">
        <v>4.45</v>
      </c>
      <c r="G12" s="9" t="n">
        <v>0.3813</v>
      </c>
      <c r="H12" s="10" t="n">
        <v>0.0697</v>
      </c>
      <c r="I12" s="9" t="n">
        <v>0.8134</v>
      </c>
      <c r="J12" s="9" t="n">
        <v>0.0712</v>
      </c>
      <c r="K12" s="9" t="n">
        <v>0.1409</v>
      </c>
      <c r="L12" s="5" t="inlineStr">
        <is>
          <t>观察</t>
        </is>
      </c>
      <c r="M12" s="11" t="inlineStr"/>
    </row>
    <row r="13">
      <c r="A13" s="3" t="n">
        <v>11</v>
      </c>
      <c r="B13" s="4" t="inlineStr">
        <is>
          <t>招商银行</t>
        </is>
      </c>
      <c r="C13" s="5" t="inlineStr">
        <is>
          <t>沪</t>
        </is>
      </c>
      <c r="D13" s="6" t="n">
        <v>42.45</v>
      </c>
      <c r="E13" s="7" t="n">
        <v>7.06</v>
      </c>
      <c r="F13" s="8" t="n">
        <v>0.93</v>
      </c>
      <c r="G13" s="9" t="n">
        <v>0.1317</v>
      </c>
      <c r="H13" s="10" t="n">
        <v>0.0475</v>
      </c>
      <c r="I13" s="9" t="n">
        <v>0.3353</v>
      </c>
      <c r="J13" s="9" t="n">
        <v>0.0876</v>
      </c>
      <c r="K13" s="9" t="n">
        <v>0.1351</v>
      </c>
      <c r="L13" s="5" t="inlineStr">
        <is>
          <t>● 持仓</t>
        </is>
      </c>
      <c r="M13" s="11" t="inlineStr"/>
    </row>
    <row r="14">
      <c r="A14" s="3" t="n">
        <v>12</v>
      </c>
      <c r="B14" s="4" t="inlineStr">
        <is>
          <t>安踏体育</t>
        </is>
      </c>
      <c r="C14" s="5" t="inlineStr">
        <is>
          <t>港股</t>
        </is>
      </c>
      <c r="D14" s="6" t="n">
        <v>77.95</v>
      </c>
      <c r="E14" s="7" t="n">
        <v>14.49</v>
      </c>
      <c r="F14" s="8" t="n">
        <v>2.64</v>
      </c>
      <c r="G14" s="9" t="n">
        <v>0.1822</v>
      </c>
      <c r="H14" s="10" t="n">
        <v>0.0332</v>
      </c>
      <c r="I14" s="9" t="n">
        <v>0.4815</v>
      </c>
      <c r="J14" s="9" t="n">
        <v>0.0945</v>
      </c>
      <c r="K14" s="9" t="n">
        <v>0.1277</v>
      </c>
      <c r="L14" s="5" t="inlineStr">
        <is>
          <t>● 持仓</t>
        </is>
      </c>
      <c r="M14" s="11" t="inlineStr"/>
    </row>
    <row r="15">
      <c r="A15" s="3" t="n">
        <v>13</v>
      </c>
      <c r="B15" s="4" t="inlineStr">
        <is>
          <t>中国海洋石油</t>
        </is>
      </c>
      <c r="C15" s="5" t="inlineStr">
        <is>
          <t>港股</t>
        </is>
      </c>
      <c r="D15" s="6" t="n">
        <v>23.96</v>
      </c>
      <c r="E15" s="7" t="n">
        <v>8.43</v>
      </c>
      <c r="F15" s="8" t="n">
        <v>1.16</v>
      </c>
      <c r="G15" s="9" t="n">
        <v>0.1376</v>
      </c>
      <c r="H15" s="10" t="n">
        <v>0.0622</v>
      </c>
      <c r="I15" s="9" t="n">
        <v>0.5242</v>
      </c>
      <c r="J15" s="9" t="n">
        <v>0.0655</v>
      </c>
      <c r="K15" s="9" t="n">
        <v>0.1277</v>
      </c>
      <c r="L15" s="5" t="inlineStr">
        <is>
          <t>观察</t>
        </is>
      </c>
      <c r="M15" s="11" t="inlineStr"/>
    </row>
    <row r="16">
      <c r="A16" s="3" t="n">
        <v>14</v>
      </c>
      <c r="B16" s="4" t="inlineStr">
        <is>
          <t>小商品城</t>
        </is>
      </c>
      <c r="C16" s="5" t="inlineStr">
        <is>
          <t>沪</t>
        </is>
      </c>
      <c r="D16" s="6" t="n">
        <v>11</v>
      </c>
      <c r="E16" s="7" t="n">
        <v>13.43</v>
      </c>
      <c r="F16" s="8" t="n">
        <v>2.73</v>
      </c>
      <c r="G16" s="9" t="n">
        <v>0.2033</v>
      </c>
      <c r="H16" s="10" t="n">
        <v>0.0455</v>
      </c>
      <c r="I16" s="9" t="n">
        <v>0.6111</v>
      </c>
      <c r="J16" s="9" t="n">
        <v>0.0791</v>
      </c>
      <c r="K16" s="9" t="n">
        <v>0.1246</v>
      </c>
      <c r="L16" s="5" t="inlineStr">
        <is>
          <t>观察</t>
        </is>
      </c>
      <c r="M16" s="11" t="inlineStr"/>
    </row>
    <row r="17">
      <c r="A17" s="3" t="n">
        <v>15</v>
      </c>
      <c r="B17" s="4" t="inlineStr">
        <is>
          <t>万华化学</t>
        </is>
      </c>
      <c r="C17" s="5" t="inlineStr">
        <is>
          <t>沪</t>
        </is>
      </c>
      <c r="D17" s="6" t="n">
        <v>66.23999999999999</v>
      </c>
      <c r="E17" s="7" t="n">
        <v>12.59</v>
      </c>
      <c r="F17" s="8" t="n">
        <v>1.87</v>
      </c>
      <c r="G17" s="9" t="n">
        <v>0.1485</v>
      </c>
      <c r="H17" s="10" t="n">
        <v>0.0311</v>
      </c>
      <c r="I17" s="9" t="n">
        <v>0.3915</v>
      </c>
      <c r="J17" s="9" t="n">
        <v>0.09039999999999999</v>
      </c>
      <c r="K17" s="9" t="n">
        <v>0.1215</v>
      </c>
      <c r="L17" s="5" t="inlineStr">
        <is>
          <t>● 持仓</t>
        </is>
      </c>
      <c r="M17" s="11" t="inlineStr"/>
    </row>
    <row r="18">
      <c r="A18" s="3" t="n">
        <v>16</v>
      </c>
      <c r="B18" s="4" t="inlineStr">
        <is>
          <t>福耀玻璃</t>
        </is>
      </c>
      <c r="C18" s="5" t="inlineStr">
        <is>
          <t>沪</t>
        </is>
      </c>
      <c r="D18" s="6" t="n">
        <v>54.78</v>
      </c>
      <c r="E18" s="7" t="n">
        <v>16.86</v>
      </c>
      <c r="F18" s="8" t="n">
        <v>4.02</v>
      </c>
      <c r="G18" s="9" t="n">
        <v>0.2384</v>
      </c>
      <c r="H18" s="10" t="n">
        <v>0.0402</v>
      </c>
      <c r="I18" s="9" t="n">
        <v>0.6778</v>
      </c>
      <c r="J18" s="9" t="n">
        <v>0.07679999999999999</v>
      </c>
      <c r="K18" s="9" t="n">
        <v>0.117</v>
      </c>
      <c r="L18" s="5" t="inlineStr">
        <is>
          <t>● 持仓</t>
        </is>
      </c>
      <c r="M18" s="11" t="inlineStr"/>
    </row>
    <row r="19">
      <c r="A19" s="3" t="n">
        <v>17</v>
      </c>
      <c r="B19" s="4" t="inlineStr">
        <is>
          <t>贵州茅台</t>
        </is>
      </c>
      <c r="C19" s="5" t="inlineStr">
        <is>
          <t>沪</t>
        </is>
      </c>
      <c r="D19" s="6" t="n">
        <v>1329</v>
      </c>
      <c r="E19" s="7" t="n">
        <v>20.4</v>
      </c>
      <c r="F19" s="8" t="n">
        <v>6.61</v>
      </c>
      <c r="G19" s="9" t="n">
        <v>0.324</v>
      </c>
      <c r="H19" s="10" t="n">
        <v>0.0391</v>
      </c>
      <c r="I19" s="9" t="n">
        <v>0.7976</v>
      </c>
      <c r="J19" s="9" t="n">
        <v>0.06560000000000001</v>
      </c>
      <c r="K19" s="9" t="n">
        <v>0.1047</v>
      </c>
      <c r="L19" s="5" t="inlineStr">
        <is>
          <t>观察</t>
        </is>
      </c>
      <c r="M19" s="11" t="inlineStr"/>
    </row>
    <row r="20">
      <c r="A20" s="3" t="n">
        <v>18</v>
      </c>
      <c r="B20" s="4" t="inlineStr">
        <is>
          <t>恒瑞医药</t>
        </is>
      </c>
      <c r="C20" s="5" t="inlineStr">
        <is>
          <t>沪</t>
        </is>
      </c>
      <c r="D20" s="6" t="n">
        <v>46.63</v>
      </c>
      <c r="E20" s="7" t="n">
        <v>40.06</v>
      </c>
      <c r="F20" s="8" t="n">
        <v>4.8</v>
      </c>
      <c r="G20" s="9" t="n">
        <v>0.1198</v>
      </c>
      <c r="H20" s="10" t="n">
        <v>0.0043</v>
      </c>
      <c r="I20" s="9" t="n">
        <v>0.1723</v>
      </c>
      <c r="J20" s="9" t="n">
        <v>0.0992</v>
      </c>
      <c r="K20" s="9" t="n">
        <v>0.1035</v>
      </c>
      <c r="L20" s="5" t="inlineStr">
        <is>
          <t>观察</t>
        </is>
      </c>
      <c r="M20" s="11" t="inlineStr"/>
    </row>
    <row r="21">
      <c r="A21" s="3" t="n">
        <v>19</v>
      </c>
      <c r="B21" s="4" t="inlineStr">
        <is>
          <t>华润置地</t>
        </is>
      </c>
      <c r="C21" s="5" t="inlineStr">
        <is>
          <t>港股</t>
        </is>
      </c>
      <c r="D21" s="6" t="n">
        <v>31.06</v>
      </c>
      <c r="E21" s="7" t="n">
        <v>7.87</v>
      </c>
      <c r="F21" s="8" t="n">
        <v>0.66</v>
      </c>
      <c r="G21" s="9" t="n">
        <v>0.0839</v>
      </c>
      <c r="H21" s="10" t="n">
        <v>0.0432</v>
      </c>
      <c r="I21" s="9" t="n">
        <v>0.3398</v>
      </c>
      <c r="J21" s="9" t="n">
        <v>0.0554</v>
      </c>
      <c r="K21" s="9" t="n">
        <v>0.0985</v>
      </c>
      <c r="L21" s="5" t="inlineStr">
        <is>
          <t>观察</t>
        </is>
      </c>
      <c r="M21" s="11" t="inlineStr"/>
    </row>
    <row r="22">
      <c r="A22" s="3" t="n">
        <v>20</v>
      </c>
      <c r="B22" s="4" t="inlineStr">
        <is>
          <t>迈瑞医疗</t>
        </is>
      </c>
      <c r="C22" s="5" t="inlineStr">
        <is>
          <t>深</t>
        </is>
      </c>
      <c r="D22" s="6" t="n">
        <v>167.3</v>
      </c>
      <c r="E22" s="7" t="n">
        <v>25.78</v>
      </c>
      <c r="F22" s="8" t="n">
        <v>5.21</v>
      </c>
      <c r="G22" s="9" t="n">
        <v>0.2021</v>
      </c>
      <c r="H22" s="10" t="n">
        <v>0.0254</v>
      </c>
      <c r="I22" s="9" t="n">
        <v>0.6548</v>
      </c>
      <c r="J22" s="9" t="n">
        <v>0.0698</v>
      </c>
      <c r="K22" s="9" t="n">
        <v>0.09520000000000001</v>
      </c>
      <c r="L22" s="5" t="inlineStr">
        <is>
          <t>观察</t>
        </is>
      </c>
      <c r="M22" s="11" t="inlineStr"/>
    </row>
    <row r="23">
      <c r="A23" s="3" t="n">
        <v>21</v>
      </c>
      <c r="B23" s="4" t="inlineStr">
        <is>
          <t>扬农化工</t>
        </is>
      </c>
      <c r="C23" s="5" t="inlineStr">
        <is>
          <t>沪</t>
        </is>
      </c>
      <c r="D23" s="6" t="n">
        <v>50.5</v>
      </c>
      <c r="E23" s="7" t="n">
        <v>16.07</v>
      </c>
      <c r="F23" s="8" t="n">
        <v>1.72</v>
      </c>
      <c r="G23" s="9" t="n">
        <v>0.107</v>
      </c>
      <c r="H23" s="10" t="n">
        <v>0.0189</v>
      </c>
      <c r="I23" s="9" t="n">
        <v>0.3037</v>
      </c>
      <c r="J23" s="9" t="n">
        <v>0.0745</v>
      </c>
      <c r="K23" s="9" t="n">
        <v>0.0934</v>
      </c>
      <c r="L23" s="5" t="inlineStr">
        <is>
          <t>观察</t>
        </is>
      </c>
      <c r="M23" s="11" t="inlineStr"/>
    </row>
    <row r="24">
      <c r="A24" s="3" t="n">
        <v>22</v>
      </c>
      <c r="B24" s="4" t="inlineStr">
        <is>
          <t>长江电力</t>
        </is>
      </c>
      <c r="C24" s="5" t="inlineStr">
        <is>
          <t>沪</t>
        </is>
      </c>
      <c r="D24" s="6" t="n">
        <v>29.38</v>
      </c>
      <c r="E24" s="7" t="n">
        <v>19.86</v>
      </c>
      <c r="F24" s="8" t="n">
        <v>3.33</v>
      </c>
      <c r="G24" s="9" t="n">
        <v>0.1677</v>
      </c>
      <c r="H24" s="10" t="n">
        <v>0.034</v>
      </c>
      <c r="I24" s="9" t="n">
        <v>0.6752</v>
      </c>
      <c r="J24" s="9" t="n">
        <v>0.0545</v>
      </c>
      <c r="K24" s="9" t="n">
        <v>0.0885</v>
      </c>
      <c r="L24" s="5" t="inlineStr">
        <is>
          <t>观察</t>
        </is>
      </c>
      <c r="M24" s="11" t="inlineStr"/>
    </row>
    <row r="25">
      <c r="A25" s="3" t="n">
        <v>23</v>
      </c>
      <c r="B25" s="4" t="inlineStr">
        <is>
          <t>中国移动</t>
        </is>
      </c>
      <c r="C25" s="5" t="inlineStr">
        <is>
          <t>港股</t>
        </is>
      </c>
      <c r="D25" s="6" t="n">
        <v>80.95</v>
      </c>
      <c r="E25" s="7" t="n">
        <v>11.57</v>
      </c>
      <c r="F25" s="8" t="n">
        <v>1.05</v>
      </c>
      <c r="G25" s="9" t="n">
        <v>0.09080000000000001</v>
      </c>
      <c r="H25" s="10" t="n">
        <v>0.0669</v>
      </c>
      <c r="I25" s="9" t="n">
        <v>0.7742</v>
      </c>
      <c r="J25" s="9" t="n">
        <v>0.0205</v>
      </c>
      <c r="K25" s="9" t="n">
        <v>0.08740000000000001</v>
      </c>
      <c r="L25" s="5" t="inlineStr">
        <is>
          <t>观察</t>
        </is>
      </c>
      <c r="M25" s="11" t="inlineStr"/>
    </row>
    <row r="26">
      <c r="A26" s="3" t="n">
        <v>24</v>
      </c>
      <c r="B26" s="4" t="inlineStr">
        <is>
          <t>伟星新材</t>
        </is>
      </c>
      <c r="C26" s="5" t="inlineStr">
        <is>
          <t>深</t>
        </is>
      </c>
      <c r="D26" s="6" t="n">
        <v>8.65</v>
      </c>
      <c r="E26" s="7" t="n">
        <v>16.02</v>
      </c>
      <c r="F26" s="8" t="n">
        <v>2.92</v>
      </c>
      <c r="G26" s="9" t="n">
        <v>0.1823</v>
      </c>
      <c r="H26" s="10" t="n">
        <v>0.0514</v>
      </c>
      <c r="I26" s="9" t="n">
        <v>0.8234</v>
      </c>
      <c r="J26" s="9" t="n">
        <v>0.0322</v>
      </c>
      <c r="K26" s="9" t="n">
        <v>0.08359999999999999</v>
      </c>
      <c r="L26" s="5" t="inlineStr">
        <is>
          <t>观察</t>
        </is>
      </c>
      <c r="M26" s="11" t="inlineStr"/>
    </row>
    <row r="27">
      <c r="A27" s="3" t="n">
        <v>25</v>
      </c>
      <c r="B27" s="4" t="inlineStr">
        <is>
          <t>名创优品</t>
        </is>
      </c>
      <c r="C27" s="5" t="inlineStr">
        <is>
          <t>港股</t>
        </is>
      </c>
      <c r="D27" s="6" t="n">
        <v>20.28</v>
      </c>
      <c r="E27" s="7" t="n">
        <v>17.87</v>
      </c>
      <c r="F27" s="8" t="n">
        <v>2.11</v>
      </c>
      <c r="G27" s="9" t="n">
        <v>0.1181</v>
      </c>
      <c r="H27" s="10" t="n">
        <v>0.0377</v>
      </c>
      <c r="I27" s="9" t="n">
        <v>0.6741</v>
      </c>
      <c r="J27" s="9" t="n">
        <v>0.0385</v>
      </c>
      <c r="K27" s="9" t="n">
        <v>0.0762</v>
      </c>
      <c r="L27" s="5" t="inlineStr">
        <is>
          <t>观察</t>
        </is>
      </c>
      <c r="M27" s="11" t="inlineStr"/>
    </row>
    <row r="28">
      <c r="A28" s="3" t="n">
        <v>26</v>
      </c>
      <c r="B28" s="4" t="inlineStr">
        <is>
          <t>伊利股份</t>
        </is>
      </c>
      <c r="C28" s="5" t="inlineStr">
        <is>
          <t>沪</t>
        </is>
      </c>
      <c r="D28" s="6" t="n">
        <v>28.2</v>
      </c>
      <c r="E28" s="7" t="n">
        <v>17.62</v>
      </c>
      <c r="F28" s="8" t="n">
        <v>3.32</v>
      </c>
      <c r="G28" s="9" t="n">
        <v>0.1884</v>
      </c>
      <c r="H28" s="10" t="n">
        <v>0.0489</v>
      </c>
      <c r="I28" s="9" t="n">
        <v>0.8616</v>
      </c>
      <c r="J28" s="9" t="n">
        <v>0.0261</v>
      </c>
      <c r="K28" s="9" t="n">
        <v>0.075</v>
      </c>
      <c r="L28" s="5" t="inlineStr">
        <is>
          <t>观察</t>
        </is>
      </c>
      <c r="M28" s="11" t="inlineStr"/>
    </row>
    <row r="29">
      <c r="A29" s="3" t="n">
        <v>27</v>
      </c>
      <c r="B29" s="4" t="inlineStr">
        <is>
          <t>中国移动</t>
        </is>
      </c>
      <c r="C29" s="5" t="inlineStr">
        <is>
          <t>沪</t>
        </is>
      </c>
      <c r="D29" s="6" t="n">
        <v>101.4</v>
      </c>
      <c r="E29" s="7" t="n">
        <v>16.69</v>
      </c>
      <c r="F29" s="8" t="n">
        <v>1.61</v>
      </c>
      <c r="G29" s="9" t="n">
        <v>0.0965</v>
      </c>
      <c r="H29" s="10" t="n">
        <v>0.0464</v>
      </c>
      <c r="I29" s="9" t="n">
        <v>0.7744</v>
      </c>
      <c r="J29" s="9" t="n">
        <v>0.0218</v>
      </c>
      <c r="K29" s="9" t="n">
        <v>0.0682</v>
      </c>
      <c r="L29" s="5" t="inlineStr">
        <is>
          <t>观察</t>
        </is>
      </c>
      <c r="M29" s="11" t="inlineStr"/>
    </row>
    <row r="30">
      <c r="A30" s="3" t="n">
        <v>28</v>
      </c>
      <c r="B30" s="4" t="inlineStr">
        <is>
          <t>东阿阿胶</t>
        </is>
      </c>
      <c r="C30" s="5" t="inlineStr">
        <is>
          <t>深</t>
        </is>
      </c>
      <c r="D30" s="6" t="n">
        <v>47.51</v>
      </c>
      <c r="E30" s="7" t="n">
        <v>17.03</v>
      </c>
      <c r="F30" s="8" t="n">
        <v>3.27</v>
      </c>
      <c r="G30" s="9" t="n">
        <v>0.192</v>
      </c>
      <c r="H30" s="10" t="n">
        <v>0.0586</v>
      </c>
      <c r="I30" s="9" t="n">
        <v>0.998</v>
      </c>
      <c r="J30" s="9" t="n">
        <v>0.0004</v>
      </c>
      <c r="K30" s="9" t="n">
        <v>0.059</v>
      </c>
      <c r="L30" s="5" t="inlineStr">
        <is>
          <t>观察</t>
        </is>
      </c>
      <c r="M30" s="11" t="inlineStr"/>
    </row>
    <row r="31">
      <c r="A31" s="3" t="n">
        <v>29</v>
      </c>
      <c r="B31" s="4" t="inlineStr">
        <is>
          <t>海天味业H</t>
        </is>
      </c>
      <c r="C31" s="5" t="inlineStr">
        <is>
          <t>港股</t>
        </is>
      </c>
      <c r="D31" s="6" t="n">
        <v>26.22</v>
      </c>
      <c r="E31" s="7" t="n">
        <v>19.66</v>
      </c>
      <c r="F31" s="8" t="n">
        <v>3.49</v>
      </c>
      <c r="G31" s="9" t="n">
        <v>0.1775</v>
      </c>
      <c r="H31" s="10" t="n">
        <v>0.0476</v>
      </c>
      <c r="I31" s="9" t="n">
        <v>0.9365</v>
      </c>
      <c r="J31" s="9" t="n">
        <v>0.0113</v>
      </c>
      <c r="K31" s="9" t="n">
        <v>0.0589</v>
      </c>
      <c r="L31" s="5" t="inlineStr">
        <is>
          <t>观察</t>
        </is>
      </c>
      <c r="M31" s="11" t="inlineStr"/>
    </row>
    <row r="32">
      <c r="A32" s="3" t="n">
        <v>30</v>
      </c>
      <c r="B32" s="4" t="inlineStr">
        <is>
          <t>分众传媒</t>
        </is>
      </c>
      <c r="C32" s="5" t="inlineStr">
        <is>
          <t>深</t>
        </is>
      </c>
      <c r="D32" s="6" t="n">
        <v>5.16</v>
      </c>
      <c r="E32" s="7" t="n">
        <v>21.86</v>
      </c>
      <c r="F32" s="8" t="n">
        <v>5.62</v>
      </c>
      <c r="G32" s="9" t="n">
        <v>0.2571</v>
      </c>
      <c r="H32" s="10" t="n">
        <v>0.0562</v>
      </c>
      <c r="I32" s="9" t="n">
        <v>1</v>
      </c>
      <c r="J32" s="9" t="n">
        <v>0</v>
      </c>
      <c r="K32" s="9" t="n">
        <v>0.0562</v>
      </c>
      <c r="L32" s="5" t="inlineStr">
        <is>
          <t>观察</t>
        </is>
      </c>
      <c r="M32" s="11" t="inlineStr"/>
    </row>
    <row r="33">
      <c r="A33" s="3" t="n">
        <v>31</v>
      </c>
      <c r="B33" s="4" t="inlineStr">
        <is>
          <t>海天味业</t>
        </is>
      </c>
      <c r="C33" s="5" t="inlineStr">
        <is>
          <t>沪</t>
        </is>
      </c>
      <c r="D33" s="6" t="n">
        <v>34.62</v>
      </c>
      <c r="E33" s="7" t="n">
        <v>27.65</v>
      </c>
      <c r="F33" s="8" t="n">
        <v>5.18</v>
      </c>
      <c r="G33" s="9" t="n">
        <v>0.1873</v>
      </c>
      <c r="H33" s="10" t="n">
        <v>0.0318</v>
      </c>
      <c r="I33" s="9" t="n">
        <v>0.8793</v>
      </c>
      <c r="J33" s="9" t="n">
        <v>0.0226</v>
      </c>
      <c r="K33" s="9" t="n">
        <v>0.0544</v>
      </c>
      <c r="L33" s="5" t="inlineStr">
        <is>
          <t>观察</t>
        </is>
      </c>
      <c r="M33" s="11" t="inlineStr"/>
    </row>
    <row r="34">
      <c r="A34" s="12" t="n"/>
      <c r="B34" s="12" t="inlineStr">
        <is>
          <t>观察池平均（简单算术）</t>
        </is>
      </c>
      <c r="C34" s="12" t="n"/>
      <c r="D34" s="12" t="n"/>
      <c r="E34" s="12" t="n"/>
      <c r="F34" s="12" t="n"/>
      <c r="G34" s="13" t="n">
        <v>0.1991</v>
      </c>
      <c r="H34" s="14" t="n">
        <v>0.041</v>
      </c>
      <c r="I34" s="12" t="n"/>
      <c r="J34" s="13" t="n">
        <v>0.0809</v>
      </c>
      <c r="K34" s="13" t="n">
        <v>0.1218</v>
      </c>
      <c r="L34" s="12" t="n"/>
      <c r="M34" s="12" t="n"/>
    </row>
  </sheetData>
  <autoFilter ref="A2:M33"/>
  <mergeCells count="1">
    <mergeCell ref="A1:M1"/>
  </mergeCells>
  <conditionalFormatting sqref="K3:K33">
    <cfRule type="cellIs" priority="1" operator="greaterThanOrEqual" dxfId="0">
      <formula>0.15</formula>
    </cfRule>
    <cfRule type="cellIs" priority="2" operator="lessThan" dxfId="1">
      <formula>0.08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5" t="inlineStr">
        <is>
          <t>口径说明</t>
        </is>
      </c>
    </row>
    <row r="3" ht="30" customHeight="1">
      <c r="A3" s="16" t="inlineStr">
        <is>
          <t>公式</t>
        </is>
      </c>
      <c r="B3" s="17" t="inlineStr">
        <is>
          <t>理论回报 = 股息率 + 内生增长g；g = ROE × (1-分红率)；分红率 = 股息率 × PE（&gt;100%按100%截断）；ROE = PB ÷ PE(TTM)（同源恒等式）。本表为静态快照，计算列已写入数值</t>
        </is>
      </c>
    </row>
    <row r="4" ht="30" customHeight="1">
      <c r="A4" s="16" t="inlineStr">
        <is>
          <t>数据源</t>
        </is>
      </c>
      <c r="B4" s="17" t="inlineStr">
        <is>
          <t>腾讯行情源 gtimg（2026-10-16 收盘）：现价、PE(TTM)、PB、股息率（A股为行情字段直取，港股=每股DPS÷现价）</t>
        </is>
      </c>
    </row>
    <row r="5" ht="30" customHeight="1">
      <c r="A5" s="16" t="inlineStr">
        <is>
          <t>覆盖</t>
        </is>
      </c>
      <c r="B5" s="17" t="inlineStr">
        <is>
          <t>投资平台观察池 31 只标的（含 7 只已持仓），无遗漏</t>
        </is>
      </c>
    </row>
    <row r="6" ht="30" customHeight="1">
      <c r="A6" s="16" t="inlineStr">
        <is>
          <t>理论前提</t>
        </is>
      </c>
      <c r="B6" s="17" t="inlineStr">
        <is>
          <t>① PB 买卖时点不变；② ROE 可持续；③ 留存利润能赚出与存量相同的 ROE。任一崩塌则实际回报低于理论值——价值陷阱的来源</t>
        </is>
      </c>
    </row>
    <row r="7" ht="30" customHeight="1">
      <c r="A7" s="16" t="inlineStr">
        <is>
          <t>† 泡泡玛特</t>
        </is>
      </c>
      <c r="B7" s="17" t="inlineStr">
        <is>
          <t>TTM ROE 53.2% 为利润率跳升年份的冲高值，g=39.5% 是把冲高值当永续外推的产物，实际可持续回报远低于 41.4%</t>
        </is>
      </c>
    </row>
    <row r="8" ht="30" customHeight="1">
      <c r="A8" s="16" t="inlineStr">
        <is>
          <t>? 携程-S</t>
        </is>
      </c>
      <c r="B8" s="17" t="inlineStr">
        <is>
          <t>PE 5.4 疑似行情源字段错位（真实约 17-18），整行存疑待核</t>
        </is>
      </c>
    </row>
    <row r="9" ht="30" customHeight="1">
      <c r="A9" s="16" t="inlineStr">
        <is>
          <t>‡ A/H 双上市</t>
        </is>
      </c>
      <c r="B9" s="17" t="inlineStr">
        <is>
          <t>H 股 ROE 受本币折算影响，与 A 股有 1-3 个点噪声（如平安 A 15.8% vs H 12.7%），H 股数字仅供参考</t>
        </is>
      </c>
    </row>
    <row r="10" ht="30" customHeight="1">
      <c r="A10" s="16" t="inlineStr">
        <is>
          <t>对照</t>
        </is>
      </c>
      <c r="B10" s="17" t="inlineStr">
        <is>
          <t>书例（10% ROE/50%分红/2倍PB）= 7.5% 回报，约为本观察池中位水平；持仓 7 只全部在 11.7%-16.7% 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观察池Gordon理论回报测算</dc:title>
  <dcterms:created xsi:type="dcterms:W3CDTF">2026-10-17T07:46:11Z</dcterms:created>
  <dcterms:modified xsi:type="dcterms:W3CDTF">2026-10-17T07:46:11Z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{"Label":"1","ContentProducer":"00119111010856365494821B355","ProduceID":"02d9456854874c4fa2f916b3c943d156","ContentPropagator":"00119111010856365494821B355","PropagateID":"02d9456854874c4fa2f916b3c943d156"}</vt:lpwstr>
  </property>
</Properties>
</file>